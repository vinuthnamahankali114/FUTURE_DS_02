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<sst xmlns="http://schemas.openxmlformats.org/spreadsheetml/2006/main" count="119779" uniqueCount="7091">
  <si>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</si>
  <si>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</si>
  <si>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</si>
  <si>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</si>
  <si>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</si>
  <si>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</si>
  <si>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</si>
  <si>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</si>
  <si>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</si>
  <si>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</si>
  <si>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</si>
  <si>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</si>
  <si>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</si>
  <si>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</si>
  <si>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</si>
  <si>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</si>
  <si>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</si>
  <si>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</si>
  <si>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</si>
  <si>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</si>
  <si>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</si>
  <si>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</si>
  <si>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</si>
  <si>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</si>
  <si>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</si>
  <si>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</si>
  <si>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</si>
  <si>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</si>
  <si>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</si>
  <si>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</si>
  <si>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</si>
  <si>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</si>
  <si>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</si>
  <si>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</si>
  <si>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</si>
  <si>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</si>
  <si>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</si>
  <si>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</si>
  <si>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</si>
  <si>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</si>
  <si>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</si>
  <si>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</si>
  <si>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</si>
  <si>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</si>
  <si>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</si>
  <si>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</si>
  <si>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</si>
  <si>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</si>
  <si>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</si>
  <si>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</si>
  <si>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</si>
  <si>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</si>
  <si>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</si>
  <si>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</si>
  <si>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</si>
  <si>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</si>
  <si>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</si>
  <si>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</si>
  <si>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</si>
  <si>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</si>
  <si>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</si>
  <si>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</si>
  <si>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</si>
  <si>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</si>
  <si>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</si>
  <si>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</si>
  <si>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</si>
  <si>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</si>
  <si>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</si>
  <si>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</si>
  <si>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</si>
  <si>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</si>
  <si>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</si>
  <si>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</si>
  <si>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</si>
  <si>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</si>
  <si>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</si>
  <si>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</si>
  <si>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</si>
  <si>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</si>
  <si>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</si>
  <si>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</si>
  <si>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</si>
  <si>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</si>
  <si>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</si>
  <si>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</si>
  <si>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</si>
  <si>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</si>
  <si>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</si>
  <si>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</si>
  <si>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</si>
  <si>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</si>
  <si>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</si>
  <si>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</si>
  <si>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</si>
  <si>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</si>
  <si>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</si>
  <si>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</si>
  <si>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</si>
  <si>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</si>
  <si>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</si>
  <si>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</si>
  <si>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</si>
  <si>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</si>
  <si>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</si>
  <si>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</si>
  <si>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</si>
  <si>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</si>
  <si>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</si>
  <si>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</si>
  <si>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</si>
  <si>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</si>
  <si>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</si>
  <si>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</si>
  <si>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</si>
  <si>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</si>
  <si>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</si>
  <si>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</si>
  <si>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</si>
  <si>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</si>
  <si>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</si>
  <si>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</si>
  <si>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</si>
  <si>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</si>
  <si>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</si>
  <si>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</si>
  <si>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</si>
  <si>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</si>
  <si>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</si>
  <si>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</si>
  <si>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</si>
  <si>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</si>
  <si>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</si>
  <si>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</si>
  <si>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</si>
  <si>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</si>
  <si>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</si>
  <si>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</si>
  <si>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</si>
  <si>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</si>
  <si>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</si>
  <si>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</si>
  <si>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</si>
  <si>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</si>
  <si>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</si>
  <si>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</si>
  <si>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</si>
  <si>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</si>
  <si>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</si>
  <si>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</si>
  <si>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</si>
  <si>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</si>
  <si>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</si>
  <si>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</si>
  <si>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</si>
  <si>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</si>
  <si>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</si>
  <si>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</si>
  <si>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</si>
  <si>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</si>
  <si>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</si>
  <si>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</si>
  <si>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</si>
  <si>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</si>
  <si>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</si>
  <si>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</si>
  <si>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</si>
  <si>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</si>
  <si>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</si>
  <si>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</si>
  <si>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</si>
  <si>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</si>
  <si>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</si>
  <si>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</si>
  <si>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</si>
  <si>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</si>
  <si>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</si>
  <si>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</si>
  <si>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</si>
  <si>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</si>
  <si>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</si>
  <si>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</si>
  <si>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</si>
  <si>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</si>
  <si>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</si>
  <si>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</si>
  <si>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</si>
  <si>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</si>
  <si>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</si>
  <si>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</si>
  <si>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</si>
  <si>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</si>
  <si>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</si>
  <si>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</si>
  <si>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</si>
  <si>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</si>
  <si>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</si>
  <si>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</si>
  <si>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</si>
  <si>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</si>
  <si>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</si>
  <si>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</si>
  <si>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</si>
  <si>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</si>
  <si>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</si>
  <si>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</si>
  <si>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</si>
  <si>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</si>
  <si>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</si>
  <si>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</si>
  <si>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</si>
  <si>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</si>
  <si>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</si>
  <si>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</si>
  <si>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</si>
  <si>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</si>
  <si>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</si>
  <si>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</si>
  <si>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</si>
  <si>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</si>
  <si>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</si>
  <si>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</si>
  <si>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</si>
  <si>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</si>
  <si>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</si>
  <si>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</si>
  <si>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</si>
  <si>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</si>
  <si>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</si>
  <si>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</si>
  <si>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</si>
  <si>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</si>
  <si>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</si>
  <si>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</si>
  <si>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</si>
  <si>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</si>
  <si>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</si>
  <si>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</si>
  <si>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</si>
  <si>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</si>
  <si>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</si>
  <si>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</si>
  <si>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</si>
  <si>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</si>
  <si>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</si>
  <si>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</si>
  <si>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</si>
  <si>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</si>
  <si>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</si>
  <si>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</si>
  <si>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</si>
  <si>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</si>
  <si>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</si>
  <si>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</si>
  <si>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</si>
  <si>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</si>
  <si>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</si>
  <si>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</si>
  <si>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</si>
  <si>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</si>
  <si>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</si>
  <si>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</si>
  <si>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</si>
  <si>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</si>
  <si>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</si>
  <si>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</si>
  <si>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</si>
  <si>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</si>
  <si>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</si>
  <si>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</si>
  <si>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</si>
  <si>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</si>
  <si>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</si>
  <si>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</si>
  <si>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</si>
  <si>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</si>
  <si>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</si>
  <si>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</si>
  <si>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</si>
  <si>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</si>
  <si>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</si>
  <si>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</si>
  <si>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</si>
  <si>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</si>
  <si>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</si>
  <si>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</si>
  <si>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</si>
  <si>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</si>
  <si>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</si>
  <si>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</si>
  <si>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</si>
  <si>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</si>
  <si>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</si>
  <si>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</si>
  <si>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</si>
  <si>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</si>
  <si>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</si>
  <si>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</si>
  <si>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</si>
  <si>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</si>
  <si>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</si>
  <si>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</si>
  <si>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</si>
  <si>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</si>
  <si>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</si>
  <si>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</si>
  <si>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</si>
  <si>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</si>
  <si>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</si>
  <si>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</si>
  <si>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</si>
  <si>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</si>
  <si>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</si>
  <si>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</si>
  <si>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</si>
  <si>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</si>
  <si>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</si>
  <si>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</si>
  <si>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</si>
  <si>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</si>
  <si>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</si>
  <si>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</si>
  <si>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</si>
  <si>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</si>
  <si>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</si>
  <si>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</si>
  <si>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</si>
  <si>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</si>
  <si>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</si>
  <si>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</si>
  <si>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</si>
  <si>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</si>
  <si>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</si>
  <si>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</si>
  <si>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</si>
  <si>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</si>
  <si>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</si>
  <si>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</si>
  <si>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</si>
  <si>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</si>
  <si>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</si>
  <si>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</si>
  <si>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</si>
  <si>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</si>
  <si>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</si>
  <si>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</si>
  <si>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</si>
  <si>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</si>
  <si>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</si>
  <si>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</si>
  <si>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</si>
  <si>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</si>
  <si>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</si>
  <si>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</si>
  <si>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</si>
  <si>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</si>
  <si>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</si>
  <si>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</si>
  <si>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</si>
  <si>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</si>
  <si>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</si>
  <si>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</si>
  <si>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</si>
  <si>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</si>
  <si>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</si>
  <si>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</si>
  <si>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</si>
  <si>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</si>
  <si>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</si>
  <si>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</si>
  <si>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</si>
  <si>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</si>
  <si>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</si>
  <si>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</si>
  <si>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</si>
  <si>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</si>
  <si>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</si>
  <si>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</si>
  <si>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</si>
  <si>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</si>
  <si>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</si>
  <si>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</si>
  <si>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</si>
  <si>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</si>
  <si>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</si>
  <si>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</si>
  <si>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</si>
  <si>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</si>
  <si>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</si>
  <si>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</si>
  <si>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</si>
  <si>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</si>
  <si>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</si>
  <si>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</si>
  <si>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</si>
  <si>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</si>
  <si>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</si>
  <si>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</si>
  <si>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</si>
  <si>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</si>
  <si>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</si>
  <si>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</si>
  <si>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</si>
  <si>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</si>
  <si>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</si>
  <si>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</si>
  <si>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</si>
  <si>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</si>
  <si>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</si>
  <si>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</si>
  <si>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</si>
  <si>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</si>
  <si>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</si>
  <si>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</si>
  <si>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</si>
  <si>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</si>
  <si>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</si>
  <si>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</si>
  <si>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</si>
  <si>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</si>
  <si>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</si>
  <si>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</si>
  <si>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</si>
  <si>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</si>
  <si>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</si>
  <si>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</si>
  <si>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</si>
  <si>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</si>
  <si>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</si>
  <si>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</si>
  <si>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</si>
  <si>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</si>
  <si>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</si>
  <si>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</si>
  <si>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</si>
  <si>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</si>
  <si>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</si>
  <si>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</si>
  <si>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</si>
  <si>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</si>
  <si>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</si>
  <si>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</si>
  <si>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</si>
  <si>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</si>
  <si>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</si>
  <si>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</si>
  <si>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</si>
  <si>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</si>
  <si>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</si>
  <si>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</si>
  <si>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</si>
  <si>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</si>
  <si>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</si>
  <si>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</si>
  <si>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</si>
  <si>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</si>
  <si>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</si>
  <si>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</si>
  <si>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</si>
  <si>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</si>
  <si>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</si>
  <si>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</si>
  <si>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</si>
  <si>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</si>
  <si>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</si>
  <si>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</si>
  <si>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</si>
  <si>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</si>
  <si>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</si>
  <si>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</si>
  <si>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</si>
  <si>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</si>
  <si>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</si>
  <si>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</si>
  <si>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</si>
  <si>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</si>
  <si>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</si>
  <si>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</si>
  <si>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</si>
  <si>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</si>
  <si>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</si>
  <si>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</si>
  <si>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</si>
  <si>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</si>
  <si>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</si>
  <si>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</si>
  <si>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</si>
  <si>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</si>
  <si>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</si>
  <si>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</si>
  <si>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</si>
  <si>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</si>
  <si>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</si>
  <si>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</si>
  <si>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</si>
  <si>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</si>
  <si>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</si>
  <si>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</si>
  <si>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</si>
  <si>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</si>
  <si>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</si>
  <si>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</si>
  <si>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</si>
  <si>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</si>
  <si>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</si>
  <si>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</si>
  <si>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</si>
  <si>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</si>
  <si>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</si>
  <si>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</si>
  <si>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</si>
  <si>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</si>
  <si>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</si>
  <si>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</si>
  <si>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</si>
  <si>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</si>
  <si>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</si>
  <si>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</si>
  <si>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</si>
  <si>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</si>
  <si>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</si>
  <si>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</si>
  <si>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</si>
  <si>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</si>
  <si>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</si>
  <si>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</si>
  <si>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</si>
  <si>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</si>
  <si>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</si>
  <si>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</si>
  <si>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</si>
  <si>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</si>
  <si>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</si>
  <si>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</si>
  <si>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</si>
  <si>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</si>
  <si>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</si>
  <si>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</si>
  <si>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</si>
  <si>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</si>
  <si>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</si>
  <si>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</si>
  <si>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</si>
  <si>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</si>
  <si>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</si>
  <si>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</si>
  <si>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</si>
  <si>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</si>
  <si>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</si>
  <si>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</si>
  <si>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</si>
  <si>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</si>
  <si>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</si>
  <si>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</si>
  <si>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</si>
  <si>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</si>
  <si>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</si>
  <si>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</si>
  <si>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</si>
  <si>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</si>
  <si>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</si>
  <si>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</si>
  <si>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</si>
  <si>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</si>
  <si>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</si>
  <si>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</si>
  <si>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</si>
  <si>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</si>
  <si>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</si>
  <si>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</si>
  <si>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</si>
  <si>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</si>
  <si>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</si>
  <si>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</si>
  <si>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</si>
  <si>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</si>
  <si>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</si>
  <si>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</si>
  <si>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</si>
  <si>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</si>
  <si>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</si>
  <si>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</si>
  <si>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</si>
  <si>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</si>
  <si>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</si>
  <si>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</si>
  <si>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</si>
  <si>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</si>
  <si>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</si>
  <si>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</si>
  <si>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</si>
  <si>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</si>
  <si>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</si>
  <si>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</si>
  <si>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</si>
  <si>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</si>
  <si>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</si>
  <si>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</si>
  <si>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</si>
  <si>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</si>
  <si>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</si>
  <si>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</si>
  <si>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</si>
  <si>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</si>
  <si>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</si>
  <si>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</si>
  <si>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</si>
  <si>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</si>
  <si>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</si>
  <si>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</si>
  <si>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</si>
  <si>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</si>
  <si>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</si>
  <si>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</si>
  <si>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</si>
  <si>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</si>
  <si>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</si>
  <si>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</si>
  <si>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</si>
  <si>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</si>
  <si>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</si>
  <si>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</si>
  <si>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</si>
  <si>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</si>
  <si>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</si>
  <si>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</si>
  <si>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</si>
  <si>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</si>
  <si>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</si>
  <si>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</si>
  <si>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</si>
  <si>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</si>
  <si>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</si>
  <si>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</si>
  <si>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</si>
  <si>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</si>
  <si>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</si>
  <si>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</si>
  <si>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</si>
  <si>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</si>
  <si>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</si>
  <si>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</si>
  <si>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</si>
  <si>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</si>
  <si>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</si>
  <si>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</si>
  <si>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</si>
  <si>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</si>
  <si>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</si>
  <si>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</si>
  <si>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</si>
  <si>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</si>
  <si>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</si>
  <si>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</si>
  <si>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</si>
  <si>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</si>
  <si>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</si>
  <si>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</si>
  <si>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</si>
  <si>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</si>
  <si>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</si>
  <si>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</si>
  <si>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</si>
  <si>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</si>
  <si>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</si>
  <si>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</si>
  <si>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</si>
  <si>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</si>
  <si>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</si>
  <si>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</si>
  <si>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</si>
  <si>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</si>
  <si>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</si>
  <si>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</si>
  <si>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</si>
  <si>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</si>
  <si>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</si>
  <si>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</si>
  <si>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</si>
  <si>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</si>
  <si>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</si>
  <si>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</si>
  <si>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</si>
  <si>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</si>
  <si>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</si>
  <si>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</si>
  <si>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</si>
  <si>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</si>
  <si>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</si>
  <si>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</si>
  <si>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</si>
  <si>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</si>
  <si>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</si>
  <si>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</si>
  <si>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</si>
  <si>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</si>
  <si>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</si>
  <si>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</si>
  <si>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</si>
  <si>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</si>
  <si>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</si>
  <si>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</si>
  <si>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</si>
  <si>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</si>
  <si>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</si>
  <si>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</si>
  <si>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</si>
  <si>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</si>
  <si>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</si>
  <si>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</si>
  <si>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</si>
  <si>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</si>
  <si>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</si>
  <si>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</si>
  <si>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</si>
  <si>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</si>
  <si>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</si>
  <si>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</si>
  <si>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</si>
  <si>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</si>
  <si>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</si>
  <si>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</si>
  <si>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</si>
  <si>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</si>
  <si>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</si>
  <si>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</si>
  <si>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</si>
  <si>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</si>
  <si>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</si>
  <si>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</si>
  <si>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</si>
  <si>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</si>
  <si>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</si>
  <si>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</si>
  <si>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</si>
  <si>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</si>
  <si>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</si>
  <si>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</si>
  <si>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</si>
  <si>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</si>
  <si>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</si>
  <si>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</si>
  <si>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</si>
  <si>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</si>
  <si>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</si>
  <si>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</si>
  <si>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</si>
  <si>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</si>
  <si>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</si>
  <si>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</si>
  <si>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</si>
  <si>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</si>
  <si>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</si>
  <si>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</si>
  <si>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</si>
  <si>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</si>
  <si>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</si>
  <si>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</si>
  <si>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</si>
  <si>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</si>
  <si>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</si>
  <si>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</si>
  <si>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</si>
  <si>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</si>
  <si>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</si>
  <si>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</si>
  <si>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</si>
  <si>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</si>
  <si>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</si>
  <si>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</si>
  <si>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</si>
  <si>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</si>
  <si>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</si>
  <si>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</si>
  <si>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</si>
  <si>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</si>
  <si>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</si>
  <si>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</si>
  <si>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</si>
  <si>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</si>
  <si>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</si>
  <si>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</si>
  <si>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</si>
  <si>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</si>
  <si>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</si>
  <si>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</si>
  <si>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</si>
  <si>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</si>
  <si>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</si>
  <si>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</si>
  <si>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</si>
  <si>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</si>
  <si>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</si>
  <si>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</si>
  <si>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</si>
  <si>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</si>
  <si>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</si>
  <si>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</si>
  <si>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</si>
  <si>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</si>
  <si>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</si>
  <si>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</si>
  <si>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</si>
  <si>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</si>
  <si>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</si>
  <si>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</si>
  <si>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</si>
  <si>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</si>
  <si>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</si>
  <si>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</si>
  <si>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</si>
  <si>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</si>
  <si>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</si>
  <si>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</si>
  <si>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</si>
  <si>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</si>
  <si>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</si>
  <si>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</si>
  <si>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</si>
  <si>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</si>
  <si>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</si>
  <si>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</si>
  <si>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</si>
  <si>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</si>
  <si>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</si>
  <si>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</si>
  <si>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</si>
  <si>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</si>
  <si>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</si>
  <si>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</si>
  <si>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</si>
  <si>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</si>
  <si>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</si>
  <si>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</si>
  <si>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</si>
  <si>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</si>
  <si>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</si>
  <si>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</si>
  <si>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</si>
  <si>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</si>
  <si>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</si>
  <si>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</si>
  <si>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</si>
  <si>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</si>
  <si>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</si>
  <si>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</si>
  <si>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</si>
  <si>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</si>
  <si>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</si>
  <si>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</si>
  <si>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</si>
  <si>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</si>
  <si>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</si>
  <si>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</si>
  <si>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</si>
  <si>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</si>
  <si>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</si>
  <si>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</si>
  <si>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</si>
  <si>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</si>
  <si>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</si>
  <si>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</si>
  <si>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</si>
  <si>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</si>
  <si>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</si>
  <si>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</si>
  <si>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</si>
  <si>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</si>
  <si>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</si>
  <si>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</si>
  <si>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</si>
  <si>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</si>
  <si>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</si>
  <si>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</si>
  <si>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</si>
  <si>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</si>
  <si>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</si>
  <si>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</si>
  <si>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</si>
  <si>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</si>
  <si>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</si>
  <si>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</si>
  <si>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</si>
  <si>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</si>
  <si>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</si>
  <si>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</si>
  <si>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</si>
  <si>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</si>
  <si>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</si>
  <si>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</si>
  <si>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</si>
  <si>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</si>
  <si>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</si>
  <si>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</si>
  <si>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</si>
  <si>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</si>
  <si>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</si>
  <si>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</si>
  <si>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</si>
  <si>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</si>
  <si>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</si>
  <si>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</si>
  <si>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</si>
  <si>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</si>
  <si>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</si>
  <si>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</si>
  <si>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</si>
  <si>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</si>
  <si>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</si>
  <si>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</si>
  <si>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</si>
  <si>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</si>
  <si>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</si>
  <si>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</si>
  <si>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</si>
  <si>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</si>
  <si>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</si>
  <si>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</si>
  <si>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</si>
  <si>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</si>
  <si>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</si>
  <si>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</si>
  <si>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</si>
  <si>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</si>
  <si>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</si>
  <si>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</si>
  <si>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</si>
  <si>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</si>
  <si>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</si>
  <si>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</si>
  <si>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</si>
  <si>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</si>
  <si>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</si>
  <si>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</si>
  <si>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</si>
  <si>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</si>
  <si>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</si>
  <si>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</si>
  <si>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</si>
  <si>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</si>
  <si>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</si>
  <si>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</si>
  <si>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</si>
  <si>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</si>
  <si>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</si>
  <si>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</si>
  <si>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</si>
  <si>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</si>
  <si>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</si>
  <si>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</si>
  <si>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</si>
  <si>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</si>
  <si>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</si>
  <si>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</si>
  <si>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</si>
  <si>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</si>
  <si>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</si>
  <si>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</si>
  <si>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</si>
  <si>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</si>
  <si>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</si>
  <si>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</si>
  <si>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</si>
  <si>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</si>
  <si>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</si>
  <si>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</si>
  <si>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</si>
  <si>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</si>
  <si>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</si>
  <si>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</si>
  <si>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</si>
  <si>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</si>
  <si>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</si>
  <si>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</si>
  <si>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</si>
  <si>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</si>
  <si>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</si>
  <si>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</si>
  <si>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</si>
  <si>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</si>
  <si>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</si>
  <si>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</si>
  <si>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</si>
  <si>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</si>
  <si>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</si>
  <si>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</si>
  <si>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</si>
  <si>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</si>
  <si>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</si>
  <si>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</si>
  <si>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</si>
  <si>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</si>
  <si>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</si>
  <si>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</si>
  <si>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</si>
  <si>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</si>
  <si>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</si>
  <si>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</si>
  <si>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</si>
  <si>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</si>
  <si>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</si>
  <si>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</si>
  <si>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</si>
  <si>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</si>
  <si>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</si>
  <si>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</si>
  <si>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</si>
  <si>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</si>
  <si>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</si>
  <si>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</si>
  <si>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</si>
  <si>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</si>
  <si>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</si>
  <si>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</si>
  <si>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</si>
  <si>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</si>
  <si>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</si>
  <si>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</si>
  <si>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</si>
  <si>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</si>
  <si>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</si>
  <si>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</si>
  <si>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</si>
  <si>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</si>
  <si>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</si>
  <si>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</si>
  <si>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</si>
  <si>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</si>
  <si>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</si>
  <si>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</si>
  <si>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</si>
  <si>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</si>
  <si>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</si>
  <si>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</si>
  <si>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</si>
  <si>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</si>
  <si>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</si>
  <si>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</si>
  <si>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</si>
  <si>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</si>
  <si>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</si>
  <si>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</si>
  <si>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</si>
  <si>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</si>
  <si>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</si>
  <si>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</si>
  <si>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</si>
  <si>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</si>
  <si>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</si>
  <si>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</si>
  <si>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</si>
  <si>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</si>
  <si>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</si>
  <si>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</si>
  <si>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</si>
  <si>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</si>
  <si>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</si>
  <si>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</si>
  <si>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</si>
  <si>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</si>
  <si>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</si>
  <si>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</si>
  <si>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</si>
  <si>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</si>
  <si>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</si>
  <si>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</si>
  <si>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</si>
  <si>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</si>
  <si>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</si>
  <si>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</si>
  <si>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</si>
  <si>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</si>
  <si>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</si>
  <si>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</si>
  <si>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</si>
  <si>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</si>
  <si>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</si>
  <si>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</si>
  <si>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</si>
  <si>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</si>
  <si>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</si>
  <si>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</si>
  <si>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</si>
  <si>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</si>
  <si>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</si>
  <si>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</si>
  <si>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</si>
  <si>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</si>
  <si>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</si>
  <si>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</si>
  <si>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</si>
  <si>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</si>
  <si>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</si>
  <si>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</si>
  <si>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</si>
  <si>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</si>
  <si>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</si>
  <si>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</si>
  <si>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</si>
  <si>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</si>
  <si>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</si>
  <si>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</si>
  <si>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</si>
  <si>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</si>
  <si>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</si>
  <si>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</si>
  <si>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</si>
  <si>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</si>
  <si>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</si>
  <si>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</si>
  <si>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</si>
  <si>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</si>
  <si>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</si>
  <si>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</si>
  <si>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</si>
  <si>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</si>
  <si>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</si>
  <si>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</si>
  <si>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</si>
  <si>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</si>
  <si>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</si>
  <si>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</si>
  <si>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</si>
  <si>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</si>
  <si>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</si>
  <si>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</si>
  <si>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</si>
  <si>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</si>
  <si>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</si>
  <si>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</si>
  <si>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</si>
  <si>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</si>
  <si>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</si>
  <si>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</si>
  <si>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</si>
  <si>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</si>
  <si>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</si>
  <si>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</si>
  <si>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</si>
  <si>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</si>
  <si>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</si>
  <si>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</si>
  <si>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</si>
  <si>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</si>
  <si>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</si>
  <si>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</si>
  <si>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</si>
  <si>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</si>
  <si>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</si>
  <si>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</si>
  <si>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</si>
  <si>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</si>
  <si>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</si>
  <si>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</si>
  <si>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</si>
  <si>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</si>
  <si>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</si>
  <si>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</si>
  <si>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</si>
  <si>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</si>
  <si>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</si>
  <si>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</si>
  <si>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</si>
  <si>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</si>
  <si>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</si>
  <si>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</si>
  <si>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</si>
  <si>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</si>
  <si>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</si>
  <si>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</si>
  <si>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</si>
  <si>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</si>
  <si>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</si>
  <si>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</si>
  <si>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</si>
  <si>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</si>
  <si>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</si>
  <si>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</si>
  <si>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</si>
  <si>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</si>
  <si>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</si>
  <si>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</si>
  <si>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</si>
  <si>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</si>
  <si>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</si>
  <si>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</si>
  <si>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</si>
  <si>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</si>
  <si>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</si>
  <si>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</si>
  <si>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</si>
  <si>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</si>
  <si>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</si>
  <si>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</si>
  <si>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</si>
  <si>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</si>
  <si>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</si>
  <si>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</si>
  <si>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</si>
  <si>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</si>
  <si>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</si>
  <si>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</si>
  <si>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</si>
  <si>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</si>
  <si>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</si>
  <si>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</si>
  <si>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</si>
  <si>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</si>
  <si>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</si>
  <si>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</si>
  <si>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</si>
  <si>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</si>
  <si>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</si>
  <si>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</si>
  <si>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</si>
  <si>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</si>
  <si>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</si>
  <si>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</si>
  <si>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</si>
  <si>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</si>
  <si>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</si>
  <si>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</si>
  <si>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</si>
  <si>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</si>
  <si>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</si>
  <si>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</si>
  <si>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</si>
  <si>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</si>
  <si>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</si>
  <si>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</si>
  <si>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</si>
  <si>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</si>
  <si>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</si>
  <si>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</si>
  <si>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</si>
  <si>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</si>
  <si>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</si>
  <si>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</si>
  <si>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</si>
  <si>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</si>
  <si>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</si>
  <si>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</si>
  <si>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</si>
  <si>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</si>
  <si>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</si>
  <si>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</si>
  <si>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</si>
  <si>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</si>
  <si>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</si>
  <si>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</si>
  <si>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</si>
  <si>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</si>
  <si>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</si>
  <si>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</si>
  <si>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</si>
  <si>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</si>
  <si>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</si>
  <si>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</si>
  <si>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</si>
  <si>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</si>
  <si>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</si>
  <si>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</si>
  <si>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</si>
  <si>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</si>
  <si>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</si>
  <si>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</si>
  <si>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</si>
  <si>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</si>
  <si>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</si>
  <si>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</si>
  <si>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</si>
  <si>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</si>
  <si>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</si>
  <si>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</si>
  <si>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</si>
  <si>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</si>
  <si>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</si>
  <si>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</si>
  <si>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</si>
  <si>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</si>
  <si>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</si>
  <si>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</si>
  <si>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</si>
  <si>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</si>
  <si>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</si>
  <si>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</si>
  <si>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</si>
  <si>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</si>
  <si>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</si>
  <si>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</si>
  <si>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</si>
  <si>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</si>
  <si>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</si>
  <si>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</si>
  <si>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</si>
  <si>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</si>
  <si>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</si>
  <si>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</si>
  <si>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</si>
  <si>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</si>
  <si>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</si>
  <si>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</si>
  <si>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</si>
  <si>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</si>
  <si>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</si>
  <si>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</si>
  <si>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</si>
  <si>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</si>
  <si>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</si>
  <si>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</si>
  <si>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</si>
  <si>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</si>
  <si>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</si>
  <si>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</si>
  <si>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</si>
  <si>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</si>
  <si>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</si>
  <si>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</si>
  <si>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</si>
  <si>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</si>
  <si>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</si>
  <si>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</si>
  <si>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</si>
  <si>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</si>
  <si>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</si>
  <si>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</si>
  <si>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</si>
  <si>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</si>
  <si>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</si>
  <si>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</si>
  <si>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</si>
  <si>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</si>
  <si>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</si>
  <si>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</si>
  <si>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</si>
  <si>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</si>
  <si>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</si>
  <si>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</si>
  <si>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</si>
  <si>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</si>
  <si>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</si>
  <si>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</si>
  <si>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</si>
  <si>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</si>
  <si>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</si>
  <si>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</si>
  <si>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</si>
  <si>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</si>
  <si>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</si>
  <si>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</si>
  <si>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</si>
  <si>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</si>
  <si>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</si>
  <si>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</si>
  <si>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</si>
  <si>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</si>
  <si>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</si>
  <si>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</si>
  <si>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</si>
  <si>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</si>
  <si>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</si>
  <si>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</si>
  <si>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</si>
  <si>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</si>
  <si>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</si>
  <si>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</si>
  <si>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</si>
  <si>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</si>
  <si>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</si>
  <si>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</si>
  <si>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</si>
  <si>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</si>
  <si>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</si>
  <si>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</si>
  <si>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</si>
  <si>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</si>
  <si>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</si>
  <si>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</si>
  <si>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</si>
  <si>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</si>
  <si>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</si>
  <si>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</si>
  <si>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</si>
  <si>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</si>
  <si>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</si>
  <si>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</si>
  <si>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</si>
  <si>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</si>
  <si>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</si>
  <si>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</si>
  <si>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</si>
  <si>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</si>
  <si>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</si>
  <si>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</si>
  <si>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</si>
  <si>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</si>
  <si>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</si>
  <si>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</si>
  <si>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</si>
  <si>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</si>
  <si>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</si>
  <si>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</si>
  <si>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</si>
  <si>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</si>
  <si>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</si>
  <si>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</si>
  <si>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</si>
  <si>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</si>
  <si>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</si>
  <si>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</si>
  <si>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</si>
  <si>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</si>
  <si>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</si>
  <si>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</si>
  <si>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</si>
  <si>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</si>
  <si>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</si>
  <si>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</si>
  <si>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</si>
  <si>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</si>
  <si>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</si>
  <si>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</si>
  <si>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</si>
  <si>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</si>
  <si>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</si>
  <si>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</si>
  <si>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</si>
  <si>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</si>
  <si>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</si>
  <si>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</si>
  <si>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</si>
  <si>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</si>
  <si>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</si>
  <si>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</si>
  <si>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</si>
  <si>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</si>
  <si>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</si>
  <si>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</si>
  <si>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</si>
  <si>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</si>
  <si>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</si>
  <si>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</si>
  <si>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</si>
  <si>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</si>
  <si>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</si>
  <si>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</si>
  <si>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</si>
  <si>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</si>
  <si>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</si>
  <si>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</si>
  <si>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</si>
  <si>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</si>
  <si>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</si>
  <si>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</si>
  <si>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</si>
  <si>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</si>
  <si>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</si>
  <si>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</si>
  <si>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</si>
  <si>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</si>
  <si>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</si>
  <si>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</si>
  <si>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</si>
  <si>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</si>
  <si>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</si>
  <si>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</si>
  <si>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</si>
  <si>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</si>
  <si>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</si>
  <si>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</si>
  <si>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</si>
  <si>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</si>
  <si>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</si>
  <si>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</si>
  <si>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</si>
  <si>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</si>
  <si>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</si>
  <si>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</si>
  <si>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</si>
  <si>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</si>
  <si>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</si>
  <si>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</si>
  <si>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</si>
  <si>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</si>
  <si>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</si>
  <si>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</si>
  <si>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</si>
  <si>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</si>
  <si>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</si>
  <si>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</si>
  <si>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</si>
  <si>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</si>
  <si>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</si>
  <si>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</si>
  <si>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</si>
  <si>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</si>
  <si>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</si>
  <si>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</si>
  <si>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</si>
  <si>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</si>
  <si>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</si>
  <si>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</si>
  <si>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</si>
  <si>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</si>
  <si>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</si>
  <si>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</si>
  <si>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</si>
  <si>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</si>
  <si>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</si>
  <si>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</si>
  <si>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</si>
  <si>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</si>
  <si>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</si>
  <si>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</si>
  <si>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</si>
  <si>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</si>
  <si>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</si>
  <si>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</si>
  <si>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</si>
  <si>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</si>
  <si>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</si>
  <si>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</si>
  <si>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</si>
  <si>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</si>
  <si>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</si>
  <si>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</si>
  <si>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</si>
  <si>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</si>
  <si>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</si>
  <si>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</si>
  <si>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</si>
  <si>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</si>
  <si>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</si>
  <si>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</si>
  <si>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</si>
  <si>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</si>
  <si>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</si>
  <si>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</si>
  <si>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</si>
  <si>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</si>
  <si>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</si>
  <si>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</si>
  <si>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</si>
  <si>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</si>
  <si>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</si>
  <si>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</si>
  <si>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</si>
  <si>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</si>
  <si>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</si>
  <si>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</si>
  <si>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</si>
  <si>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</si>
  <si>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</si>
  <si>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</si>
  <si>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</si>
  <si>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</si>
  <si>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</si>
  <si>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</si>
  <si>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</si>
  <si>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</si>
  <si>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</si>
  <si>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</si>
  <si>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</si>
  <si>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</si>
  <si>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</si>
  <si>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</si>
  <si>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</si>
  <si>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</si>
  <si>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</si>
  <si>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</si>
  <si>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</si>
  <si>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</si>
  <si>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</si>
  <si>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</si>
  <si>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</si>
  <si>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</si>
  <si>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</si>
  <si>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</si>
  <si>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</si>
  <si>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</si>
  <si>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</si>
  <si>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</si>
  <si>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</si>
  <si>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</si>
  <si>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</si>
  <si>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</si>
  <si>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</si>
  <si>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</si>
  <si>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</si>
  <si>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</si>
  <si>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</si>
  <si>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</si>
  <si>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</si>
  <si>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</si>
  <si>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</si>
  <si>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</si>
  <si>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</si>
  <si>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</si>
  <si>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</si>
  <si>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</si>
  <si>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</si>
  <si>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</si>
  <si>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</si>
  <si>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</si>
  <si>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</si>
  <si>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</si>
  <si>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</si>
  <si>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</si>
  <si>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</si>
  <si>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</si>
  <si>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</si>
  <si>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</si>
  <si>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</si>
  <si>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</si>
  <si>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</si>
  <si>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</si>
  <si>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</si>
  <si>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</si>
  <si>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</si>
  <si>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</si>
  <si>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</si>
  <si>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</si>
  <si>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</si>
  <si>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</si>
  <si>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</si>
  <si>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</si>
  <si>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</si>
  <si>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</si>
  <si>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</si>
  <si>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</si>
  <si>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</si>
  <si>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</si>
  <si>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</si>
  <si>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</si>
  <si>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</si>
  <si>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</si>
  <si>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</si>
  <si>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</si>
  <si>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</si>
  <si>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</si>
  <si>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</si>
  <si>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</si>
  <si>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</si>
  <si>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</si>
  <si>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</si>
  <si>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</si>
  <si>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</si>
  <si>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</si>
  <si>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</si>
  <si>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</si>
  <si>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</si>
  <si>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</si>
  <si>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</si>
  <si>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</si>
  <si>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</si>
  <si>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</si>
  <si>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</si>
  <si>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</si>
  <si>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</si>
  <si>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</si>
  <si>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</si>
  <si>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</si>
  <si>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</si>
  <si>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</si>
  <si>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</si>
  <si>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</si>
  <si>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</si>
  <si>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</si>
  <si>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</si>
  <si>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</si>
  <si>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</si>
  <si>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</si>
  <si>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</si>
  <si>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</si>
  <si>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</si>
  <si>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</si>
  <si>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</si>
  <si>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</si>
  <si>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</si>
  <si>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</si>
  <si>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</si>
  <si>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</si>
  <si>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</si>
  <si>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</si>
  <si>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</si>
  <si>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</si>
  <si>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</si>
  <si>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</si>
  <si>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</si>
  <si>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</si>
  <si>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</si>
  <si>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</si>
  <si>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</si>
  <si>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</si>
  <si>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</si>
  <si>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</si>
  <si>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</si>
  <si>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</si>
  <si>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</si>
  <si>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</si>
  <si>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</si>
  <si>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</si>
  <si>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</si>
  <si>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</si>
  <si>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</si>
  <si>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</si>
  <si>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</si>
  <si>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</si>
  <si>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</si>
  <si>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</si>
  <si>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</si>
  <si>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</si>
  <si>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</si>
  <si>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</si>
  <si>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</si>
  <si>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</si>
  <si>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</si>
  <si>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</si>
  <si>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</si>
  <si>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</si>
  <si>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</si>
  <si>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</si>
  <si>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</si>
  <si>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</si>
  <si>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</si>
  <si>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</si>
  <si>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</si>
  <si>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</si>
  <si>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</si>
  <si>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</si>
  <si>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</si>
  <si>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</si>
  <si>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</si>
  <si>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</si>
  <si>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</si>
  <si>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</si>
  <si>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</si>
  <si>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</si>
  <si>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</si>
  <si>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</si>
  <si>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</si>
  <si>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</si>
  <si>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</si>
  <si>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</si>
  <si>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</si>
  <si>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</si>
  <si>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</si>
  <si>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</si>
  <si>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</si>
  <si>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</si>
  <si>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</si>
  <si>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</si>
  <si>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</si>
  <si>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</si>
  <si>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</si>
  <si>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</si>
  <si>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</si>
  <si>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</si>
  <si>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</si>
  <si>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</si>
  <si>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</si>
  <si>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</si>
  <si>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</si>
  <si>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</si>
  <si>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</si>
  <si>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</si>
  <si>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</si>
  <si>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</si>
  <si>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</si>
  <si>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</si>
  <si>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</si>
  <si>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</si>
  <si>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</si>
  <si>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</si>
  <si>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</si>
  <si>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</si>
  <si>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</si>
  <si>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</si>
  <si>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</si>
  <si>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</si>
  <si>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</si>
  <si>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</si>
  <si>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</si>
  <si>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</si>
  <si>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</si>
  <si>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</si>
  <si>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</si>
  <si>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</si>
  <si>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</si>
  <si>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</si>
  <si>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</si>
  <si>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</si>
  <si>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</si>
  <si>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</si>
  <si>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</si>
  <si>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</si>
  <si>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</si>
  <si>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</si>
  <si>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</si>
  <si>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</si>
  <si>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</si>
  <si>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</si>
  <si>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</si>
  <si>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</si>
  <si>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</si>
  <si>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</si>
  <si>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</si>
  <si>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</si>
  <si>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</si>
  <si>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</si>
  <si>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</si>
  <si>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</si>
  <si>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</si>
  <si>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</si>
  <si>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</si>
  <si>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</si>
  <si>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</si>
  <si>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</si>
  <si>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</si>
  <si>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</si>
  <si>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</si>
  <si>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</si>
  <si>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</si>
  <si>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</si>
  <si>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</si>
  <si>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</si>
  <si>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</si>
  <si>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</si>
  <si>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</si>
  <si>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</si>
  <si>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</si>
  <si>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</si>
  <si>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</si>
  <si>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</si>
  <si>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</si>
  <si>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</si>
  <si>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</si>
  <si>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</si>
  <si>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</si>
  <si>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</si>
  <si>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</si>
  <si>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</si>
  <si>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</si>
  <si>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</si>
  <si>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</si>
  <si>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</si>
  <si>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</si>
  <si>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</si>
  <si>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</si>
  <si>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</si>
  <si>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</si>
  <si>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</si>
  <si>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</si>
  <si>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</si>
  <si>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</si>
  <si>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</si>
  <si>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</si>
  <si>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</si>
  <si>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</si>
  <si>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</si>
  <si>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</si>
  <si>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</si>
  <si>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</si>
  <si>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</si>
  <si>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</si>
  <si>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</si>
  <si>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</si>
  <si>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</si>
  <si>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</si>
  <si>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</si>
  <si>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</si>
  <si>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</si>
  <si>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</si>
  <si>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</si>
  <si>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</si>
  <si>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</si>
  <si>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</si>
  <si>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</si>
  <si>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</si>
  <si>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</si>
  <si>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</si>
  <si>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</si>
  <si>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</si>
  <si>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</si>
  <si>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</si>
  <si>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</si>
  <si>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</si>
  <si>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</si>
  <si>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</si>
  <si>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</si>
  <si>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</si>
  <si>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</si>
  <si>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</si>
  <si>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</si>
  <si>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</si>
  <si>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</si>
  <si>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</si>
  <si>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</si>
  <si>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</si>
  <si>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</si>
  <si>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</si>
  <si>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</si>
  <si>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</si>
  <si>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</si>
  <si>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</si>
  <si>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</si>
  <si>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</si>
  <si>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</si>
  <si>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</si>
  <si>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</si>
  <si>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</si>
  <si>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</si>
  <si>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</si>
  <si>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</si>
  <si>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</si>
  <si>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</si>
  <si>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</si>
  <si>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</si>
  <si>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</si>
  <si>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</si>
  <si>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</si>
  <si>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</si>
  <si>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</si>
  <si>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</si>
  <si>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</si>
  <si>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</si>
  <si>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</si>
  <si>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</si>
  <si>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</si>
  <si>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</si>
  <si>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</si>
  <si>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</si>
  <si>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</si>
  <si>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</si>
  <si>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</si>
  <si>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</si>
  <si>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</si>
  <si>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</si>
  <si>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</si>
  <si>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</si>
  <si>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</si>
  <si>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</si>
  <si>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</si>
  <si>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</si>
  <si>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</si>
  <si>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</si>
  <si>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</si>
  <si>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</si>
  <si>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</si>
  <si>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</si>
  <si>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</si>
  <si>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</si>
  <si>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</si>
  <si>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</si>
  <si>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</si>
  <si>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</si>
  <si>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</si>
  <si>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</si>
  <si>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</si>
  <si>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</si>
  <si>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</si>
  <si>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</si>
  <si>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</si>
  <si>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</si>
  <si>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</si>
  <si>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</si>
  <si>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</si>
  <si>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</si>
  <si>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</si>
  <si>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</si>
  <si>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</si>
  <si>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</si>
  <si>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</si>
  <si>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</si>
  <si>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</si>
  <si>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</si>
  <si>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</si>
  <si>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</si>
  <si>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</si>
  <si>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</si>
  <si>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</si>
  <si>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</si>
  <si>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</si>
  <si>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</si>
  <si>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</si>
  <si>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</si>
  <si>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</si>
  <si>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</si>
  <si>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</si>
  <si>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</si>
  <si>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</si>
  <si>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</si>
  <si>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</si>
  <si>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</si>
  <si>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</si>
  <si>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</si>
  <si>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</si>
  <si>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</si>
  <si>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</si>
  <si>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</si>
  <si>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</si>
  <si>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</si>
  <si>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</si>
  <si>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</si>
  <si>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</si>
  <si>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</si>
  <si>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</si>
  <si>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</si>
  <si>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</si>
  <si>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</si>
  <si>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</si>
  <si>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</si>
  <si>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</si>
  <si>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</si>
  <si>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</si>
  <si>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</si>
  <si>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</si>
  <si>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</si>
  <si>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</si>
  <si>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</si>
  <si>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</si>
  <si>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</si>
  <si>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</si>
  <si>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</si>
  <si>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</si>
  <si>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</si>
  <si>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</si>
  <si>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</si>
  <si>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</si>
  <si>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</si>
  <si>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</si>
  <si>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</si>
  <si>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</si>
  <si>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</si>
  <si>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</si>
  <si>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</si>
  <si>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</si>
  <si>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</si>
  <si>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</si>
  <si>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</si>
  <si>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</si>
  <si>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</si>
  <si>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</si>
  <si>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</si>
  <si>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</si>
  <si>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</si>
  <si>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</si>
  <si>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</si>
  <si>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</si>
  <si>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</si>
  <si>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</si>
  <si>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</si>
  <si>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</si>
  <si>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</si>
  <si>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</si>
  <si>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</si>
  <si>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</si>
  <si>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</si>
  <si>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</si>
  <si>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</si>
  <si>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</si>
  <si>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</si>
  <si>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</si>
  <si>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</si>
  <si>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</si>
  <si>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</si>
  <si>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</si>
  <si>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</si>
  <si>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</si>
  <si>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</si>
  <si>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</si>
  <si>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</si>
  <si>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</si>
  <si>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</si>
  <si>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</si>
  <si>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</si>
  <si>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</si>
  <si>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</si>
  <si>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</si>
  <si>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</si>
  <si>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</si>
  <si>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</si>
  <si>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</si>
  <si>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</si>
  <si>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</si>
  <si>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</si>
  <si>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</si>
  <si>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</si>
  <si>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</si>
  <si>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</si>
  <si>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</si>
  <si>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</si>
  <si>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</si>
  <si>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</si>
  <si>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</si>
  <si>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</si>
  <si>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</si>
  <si>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</si>
  <si>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</si>
  <si>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</si>
  <si>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</si>
  <si>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</si>
  <si>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</si>
  <si>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</si>
  <si>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</si>
  <si>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</si>
  <si>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</si>
  <si>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</si>
  <si>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</si>
  <si>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</si>
  <si>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</si>
  <si>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</si>
  <si>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</si>
  <si>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</si>
  <si>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</si>
  <si>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</si>
  <si>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</si>
  <si>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</si>
  <si>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</si>
  <si>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</si>
  <si>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</si>
  <si>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</si>
  <si>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</si>
  <si>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</si>
  <si>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</si>
  <si>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</si>
  <si>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</si>
  <si>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</si>
  <si>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</si>
  <si>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</si>
  <si>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</si>
  <si>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</si>
  <si>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</si>
  <si>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</si>
  <si>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</si>
  <si>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</si>
  <si>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</si>
  <si>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</si>
  <si>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</si>
  <si>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</si>
  <si>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</si>
  <si>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</si>
  <si>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</si>
  <si>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</si>
  <si>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</si>
  <si>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</si>
  <si>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</si>
  <si>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</si>
  <si>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</si>
  <si>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</si>
  <si>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</si>
  <si>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</si>
  <si>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</si>
  <si>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</si>
  <si>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</si>
  <si>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</si>
  <si>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</si>
  <si>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</si>
  <si>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</si>
  <si>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</si>
  <si>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</si>
  <si>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</si>
  <si>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</si>
  <si>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</si>
  <si>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</si>
  <si>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</si>
  <si>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</si>
  <si>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</si>
  <si>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</si>
  <si>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</si>
  <si>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</si>
  <si>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</si>
  <si>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</si>
  <si>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</si>
  <si>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</si>
  <si>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</si>
  <si>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</si>
  <si>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</si>
  <si>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</si>
  <si>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</si>
  <si>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</si>
  <si>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</si>
  <si>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</si>
  <si>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</si>
  <si>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</si>
  <si>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</si>
  <si>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</si>
  <si>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</si>
  <si>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</si>
  <si>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</si>
  <si>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</si>
  <si>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</si>
  <si>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</si>
  <si>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</si>
  <si>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</si>
  <si>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</si>
  <si>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</si>
  <si>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</si>
  <si>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</si>
  <si>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</si>
  <si>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</si>
  <si>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</si>
  <si>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</si>
  <si>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</si>
  <si>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</si>
  <si>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</si>
  <si>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</si>
  <si>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</si>
  <si>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</si>
  <si>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</si>
  <si>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</si>
  <si>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</si>
  <si>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</si>
  <si>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</si>
  <si>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</si>
  <si>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</si>
  <si>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</si>
  <si>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</si>
  <si>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</si>
  <si>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</si>
  <si>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</si>
  <si>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</si>
  <si>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</si>
  <si>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</si>
  <si>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</si>
  <si>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</si>
  <si>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</si>
  <si>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</si>
  <si>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</si>
  <si>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</si>
  <si>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</si>
  <si>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</si>
  <si>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</si>
  <si>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</si>
  <si>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</si>
  <si>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</si>
  <si>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</si>
  <si>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</si>
  <si>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</si>
  <si>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</si>
  <si>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</si>
  <si>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</si>
  <si>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</si>
  <si>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</si>
  <si>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</si>
  <si>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</si>
  <si>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</si>
  <si>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</si>
  <si>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</si>
  <si>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</si>
  <si>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</si>
  <si>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</si>
  <si>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</si>
  <si>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</si>
  <si>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</si>
  <si>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</si>
  <si>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</si>
  <si>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</si>
  <si>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</si>
  <si>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</si>
  <si>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</si>
  <si>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</si>
  <si>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</si>
  <si>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</si>
  <si>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</si>
  <si>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</si>
  <si>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</si>
  <si>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</si>
  <si>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</si>
  <si>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</si>
  <si>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</si>
  <si>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</si>
  <si>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</si>
  <si>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</si>
  <si>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</si>
  <si>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</si>
  <si>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</si>
  <si>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</si>
  <si>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</si>
  <si>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</si>
  <si>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</si>
  <si>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</si>
  <si>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</si>
  <si>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</si>
  <si>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</si>
  <si>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</si>
  <si>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</si>
  <si>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</si>
  <si>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</si>
  <si>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</si>
  <si>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</si>
  <si>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</si>
  <si>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</si>
  <si>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</si>
  <si>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</si>
  <si>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</si>
  <si>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</si>
  <si>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</si>
  <si>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</si>
  <si>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</si>
  <si>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</si>
  <si>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</si>
  <si>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</si>
  <si>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</si>
  <si>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</si>
  <si>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</si>
  <si>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</si>
  <si>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</si>
  <si>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</si>
  <si>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</si>
  <si>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</si>
  <si>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</si>
  <si>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</si>
  <si>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</si>
  <si>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</si>
  <si>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</si>
  <si>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</si>
  <si>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</si>
  <si>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</si>
  <si>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</si>
  <si>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</si>
  <si>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</si>
  <si>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</si>
  <si>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</si>
  <si>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</si>
  <si>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</si>
  <si>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</si>
  <si>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</si>
  <si>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</si>
  <si>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</si>
  <si>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</si>
  <si>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</si>
  <si>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</si>
  <si>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</si>
  <si>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</si>
  <si>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</si>
  <si>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</si>
  <si>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</si>
  <si>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</si>
  <si>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</si>
  <si>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</si>
  <si>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</si>
  <si>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</si>
  <si>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</si>
  <si>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</si>
  <si>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</si>
  <si>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</si>
  <si>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</si>
  <si>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</si>
  <si>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</si>
  <si>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</si>
  <si>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</si>
  <si>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</si>
  <si>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</si>
  <si>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</si>
  <si>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</si>
  <si>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</si>
  <si>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</si>
  <si>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</si>
  <si>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</si>
  <si>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</si>
  <si>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</si>
  <si>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</si>
  <si>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</si>
  <si>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</si>
  <si>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</si>
  <si>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</si>
  <si>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</si>
  <si>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</si>
  <si>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</si>
  <si>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</si>
  <si>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</si>
  <si>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</si>
  <si>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</si>
  <si>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</si>
  <si>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</si>
  <si>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</si>
  <si>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</si>
  <si>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</si>
  <si>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</si>
  <si>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</si>
  <si>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</si>
  <si>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</si>
  <si>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</si>
  <si>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</si>
  <si>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</si>
  <si>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</si>
  <si>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</si>
  <si>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</si>
  <si>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</si>
  <si>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</si>
  <si>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</si>
  <si>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</si>
  <si>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</si>
  <si>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</si>
  <si>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</si>
  <si>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</si>
  <si>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</si>
  <si>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</si>
  <si>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</si>
  <si>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</si>
  <si>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</si>
  <si>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</si>
  <si>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</si>
  <si>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</si>
  <si>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</si>
  <si>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</si>
  <si>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</si>
  <si>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</si>
  <si>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</si>
  <si>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</si>
  <si>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</si>
  <si>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</si>
  <si>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</si>
  <si>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</si>
  <si>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</si>
  <si>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</si>
  <si>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</si>
  <si>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</si>
  <si>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</si>
  <si>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</si>
  <si>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</si>
  <si>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</si>
  <si>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</si>
  <si>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</si>
  <si>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</si>
  <si>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</si>
  <si>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</si>
  <si>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</si>
  <si>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</si>
  <si>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</si>
  <si>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</si>
  <si>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</si>
  <si>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</si>
  <si>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</si>
  <si>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</si>
  <si>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</si>
  <si>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</si>
  <si>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</si>
  <si>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</si>
  <si>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</si>
  <si>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</si>
  <si>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</si>
  <si>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</si>
  <si>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</si>
  <si>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</si>
  <si>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</si>
  <si>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</si>
  <si>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</si>
  <si>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</si>
  <si>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</si>
  <si>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</si>
  <si>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</si>
  <si>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</si>
  <si>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</si>
  <si>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</si>
  <si>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</si>
  <si>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</si>
  <si>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</si>
  <si>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</si>
  <si>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</si>
  <si>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</si>
  <si>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</si>
  <si>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</si>
  <si>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</si>
  <si>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</si>
  <si>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</si>
  <si>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</si>
  <si>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</si>
  <si>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</si>
  <si>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</si>
  <si>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</si>
  <si>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</si>
  <si>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</si>
  <si>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</si>
  <si>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</si>
  <si>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</si>
  <si>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</si>
  <si>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</si>
  <si>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</si>
  <si>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</si>
  <si>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</si>
  <si>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</si>
  <si>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</si>
  <si>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</si>
  <si>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</si>
  <si>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</si>
  <si>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</si>
  <si>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</si>
  <si>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</si>
  <si>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</si>
  <si>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</si>
  <si>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</si>
  <si>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</si>
  <si>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</si>
  <si>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</si>
  <si>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</si>
  <si>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</si>
  <si>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</si>
  <si>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</si>
  <si>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</si>
  <si>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</si>
  <si>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</si>
  <si>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</si>
  <si>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</si>
  <si>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</si>
  <si>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</si>
  <si>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</si>
  <si>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</si>
  <si>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</si>
  <si>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</si>
  <si>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</si>
  <si>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</si>
  <si>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</si>
  <si>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</si>
  <si>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</si>
  <si>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</si>
  <si>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</si>
  <si>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</si>
  <si>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</si>
  <si>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</si>
  <si>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</si>
  <si>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</si>
  <si>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</si>
  <si>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</si>
  <si>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</si>
  <si>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</si>
  <si>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</si>
  <si>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</si>
  <si>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</si>
  <si>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</si>
  <si>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</si>
  <si>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</si>
  <si>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</si>
  <si>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</si>
  <si>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</si>
  <si>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</si>
  <si>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</si>
  <si>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</si>
  <si>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</si>
  <si>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</si>
  <si>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</si>
  <si>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</si>
  <si>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</si>
  <si>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</si>
  <si>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</si>
  <si>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</si>
  <si>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</si>
  <si>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</si>
  <si>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</si>
  <si>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</si>
  <si>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</si>
  <si>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</si>
  <si>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</si>
  <si>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</si>
  <si>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</si>
  <si>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</si>
  <si>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</si>
  <si>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</si>
  <si>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</si>
  <si>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</si>
  <si>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</si>
  <si>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</si>
  <si>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</si>
  <si>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</si>
  <si>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</si>
  <si>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</si>
  <si>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</si>
  <si>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</si>
  <si>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</si>
  <si>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</si>
  <si>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</si>
  <si>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</si>
  <si>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</si>
  <si>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</si>
  <si>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</si>
  <si>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</si>
  <si>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</si>
  <si>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</si>
  <si>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</si>
  <si>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</si>
  <si>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</si>
  <si>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</si>
  <si>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</si>
  <si>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</si>
  <si>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</si>
  <si>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</si>
  <si>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</si>
  <si>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</si>
  <si>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</si>
  <si>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</si>
  <si>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</si>
  <si>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</si>
  <si>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</si>
  <si>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</si>
  <si>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</si>
  <si>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</si>
  <si>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</si>
  <si>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</si>
  <si>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</si>
  <si>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</si>
  <si>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</si>
  <si>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</si>
  <si>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</si>
  <si>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</si>
  <si>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</si>
  <si>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</si>
  <si>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</si>
  <si>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</si>
  <si>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</si>
  <si>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</si>
  <si>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</si>
  <si>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</si>
  <si>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</si>
  <si>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</si>
  <si>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</si>
  <si>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</si>
  <si>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</si>
  <si>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</si>
  <si>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</si>
  <si>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</si>
  <si>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</si>
  <si>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</si>
  <si>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</si>
  <si>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</si>
  <si>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</si>
  <si>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</si>
  <si>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</si>
  <si>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</si>
  <si>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</si>
  <si>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</si>
  <si>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</si>
  <si>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</si>
  <si>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</si>
  <si>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</si>
  <si>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</si>
  <si>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</si>
  <si>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</si>
  <si>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</si>
  <si>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</si>
  <si>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</si>
  <si>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</si>
  <si>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</si>
  <si>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</si>
  <si>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</si>
  <si>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</si>
  <si>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</si>
  <si>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</si>
  <si>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</si>
  <si>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</si>
  <si>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</si>
  <si>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</si>
  <si>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</si>
  <si>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</si>
  <si>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</si>
  <si>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</si>
  <si>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</si>
  <si>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</si>
  <si>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</si>
  <si>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</si>
  <si>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</si>
  <si>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</si>
  <si>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</si>
  <si>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</si>
  <si>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</si>
  <si>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</si>
  <si>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</si>
  <si>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</si>
  <si>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</si>
  <si>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</si>
  <si>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</si>
  <si>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</si>
  <si>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</si>
  <si>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</si>
  <si>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</si>
  <si>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</si>
  <si>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</si>
  <si>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</si>
  <si>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</si>
  <si>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</si>
  <si>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</si>
  <si>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</si>
  <si>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</si>
  <si>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</si>
  <si>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</si>
  <si>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</si>
  <si>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</si>
  <si>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</si>
  <si>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</si>
  <si>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</si>
  <si>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</si>
  <si>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</si>
  <si>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</si>
  <si>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</si>
  <si>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</si>
  <si>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</si>
  <si>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</si>
  <si>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</si>
  <si>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</si>
  <si>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</si>
  <si>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</si>
  <si>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</si>
  <si>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</si>
  <si>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</si>
  <si>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</si>
  <si>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</si>
  <si>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</si>
  <si>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</si>
  <si>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</si>
  <si>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</si>
  <si>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</si>
  <si>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</si>
  <si>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</si>
  <si>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</si>
  <si>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</si>
  <si>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</si>
  <si>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</si>
  <si>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</si>
  <si>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</si>
  <si>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</si>
  <si>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</si>
  <si>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</si>
  <si>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</si>
  <si>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</si>
  <si>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</si>
  <si>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</si>
  <si>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</si>
  <si>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</si>
  <si>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</si>
  <si>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</si>
  <si>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</si>
  <si>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</si>
  <si>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</si>
  <si>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</si>
  <si>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</si>
  <si>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</si>
  <si>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</si>
  <si>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</si>
  <si>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</si>
  <si>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</si>
  <si>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</si>
  <si>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</si>
  <si>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</si>
  <si>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</si>
  <si>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</si>
  <si>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</si>
  <si>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</si>
  <si>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</si>
  <si>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</si>
  <si>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</si>
  <si>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</si>
  <si>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</si>
  <si>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</si>
  <si>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</si>
  <si>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</si>
  <si>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</si>
  <si>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</si>
  <si>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</si>
  <si>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</si>
  <si>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</si>
  <si>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</si>
  <si>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</si>
  <si>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</si>
  <si>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</si>
  <si>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</si>
  <si>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</si>
  <si>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</si>
  <si>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</si>
  <si>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</si>
  <si>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</si>
  <si>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</si>
  <si>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</si>
  <si>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</si>
  <si>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</si>
  <si>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</si>
  <si>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</si>
  <si>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</si>
  <si>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</si>
  <si>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</si>
  <si>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</si>
  <si>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</si>
  <si>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</si>
  <si>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</si>
  <si>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</si>
  <si>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</si>
  <si>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</si>
  <si>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</si>
  <si>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</si>
  <si>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</si>
  <si>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</si>
  <si>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</si>
  <si>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</si>
  <si>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</si>
  <si>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</si>
  <si>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</si>
  <si>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</si>
  <si>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</si>
  <si>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</si>
  <si>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</si>
  <si>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</si>
  <si>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</si>
  <si>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</si>
  <si>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</si>
  <si>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</si>
  <si>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</si>
  <si>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</si>
  <si>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</si>
  <si>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</si>
  <si>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</si>
  <si>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</si>
  <si>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</si>
  <si>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</si>
  <si>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</si>
  <si>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</si>
  <si>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</si>
  <si>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</si>
  <si>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</si>
  <si>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</si>
  <si>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</si>
  <si>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</si>
  <si>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</si>
  <si>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</si>
  <si>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</si>
  <si>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</si>
  <si>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</si>
  <si>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</si>
  <si>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</si>
  <si>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</si>
  <si>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</si>
  <si>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</si>
  <si>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</si>
  <si>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</si>
  <si>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</si>
  <si>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</si>
  <si>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</si>
  <si>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</si>
  <si>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</si>
  <si>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</si>
  <si>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</si>
  <si>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</si>
  <si>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</si>
  <si>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</si>
  <si>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</si>
  <si>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</si>
  <si>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</si>
  <si>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</si>
  <si>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</si>
  <si>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</si>
  <si>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</si>
  <si>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</si>
  <si>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</si>
  <si>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</si>
  <si>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</si>
  <si>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</si>
  <si>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</si>
  <si>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</si>
  <si>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</si>
  <si>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</si>
  <si>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</si>
  <si>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</si>
  <si>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</si>
  <si>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</si>
  <si>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</si>
  <si>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</si>
  <si>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</si>
  <si>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</si>
  <si>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</si>
  <si>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</si>
  <si>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</si>
  <si>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</si>
  <si>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</si>
  <si>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</si>
  <si>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</si>
  <si>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</si>
  <si>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</si>
  <si>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</si>
  <si>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</si>
  <si>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</si>
  <si>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</si>
  <si>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</si>
  <si>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</si>
  <si>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</si>
  <si>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</si>
  <si>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</si>
  <si>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</si>
  <si>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</si>
  <si>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</si>
  <si>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</si>
  <si>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</si>
  <si>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</si>
  <si>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</si>
  <si>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</si>
  <si>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</si>
  <si>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</si>
  <si>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</si>
  <si>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</si>
  <si>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</si>
  <si>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</si>
  <si>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</si>
  <si>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</si>
  <si>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</si>
  <si>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</si>
  <si>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</si>
  <si>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</si>
  <si>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</si>
  <si>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</si>
  <si>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</si>
  <si>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</si>
  <si>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</si>
  <si>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</si>
  <si>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</si>
  <si>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</si>
  <si>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</si>
  <si>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</si>
  <si>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</si>
  <si>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</si>
  <si>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</si>
  <si>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</si>
  <si>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</si>
  <si>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</si>
  <si>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</si>
  <si>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</si>
  <si>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</si>
  <si>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</si>
  <si>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</si>
  <si>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</si>
  <si>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</si>
  <si>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</si>
  <si>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</si>
  <si>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</si>
  <si>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</si>
  <si>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</si>
  <si>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</si>
  <si>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</si>
  <si>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</si>
  <si>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</si>
  <si>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</si>
  <si>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</si>
  <si>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</si>
  <si>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</si>
  <si>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</si>
  <si>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</si>
  <si>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</si>
  <si>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</si>
  <si>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</si>
  <si>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</si>
  <si>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</si>
  <si>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</si>
  <si>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</si>
  <si>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</si>
  <si>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</si>
  <si>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</si>
  <si>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</si>
  <si>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</si>
  <si>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</si>
  <si>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</si>
  <si>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</si>
  <si>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</si>
  <si>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</si>
  <si>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</si>
  <si>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</si>
  <si>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</si>
  <si>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</si>
  <si>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</si>
  <si>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</si>
  <si>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</si>
  <si>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</si>
  <si>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</si>
  <si>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</si>
  <si>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</si>
  <si>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</si>
  <si>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</si>
  <si>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</si>
  <si>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</si>
  <si>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</si>
  <si>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</si>
  <si>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</si>
  <si>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</si>
  <si>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</si>
  <si>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</si>
  <si>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</si>
  <si>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</si>
  <si>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</si>
  <si>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</si>
  <si>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</si>
  <si>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</si>
  <si>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</si>
  <si>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</si>
  <si>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</si>
  <si>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</si>
  <si>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</si>
  <si>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</si>
  <si>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</si>
  <si>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</si>
  <si>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</si>
  <si>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</si>
  <si>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</si>
  <si>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</si>
  <si>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</si>
  <si>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</si>
  <si>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</si>
  <si>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</si>
  <si>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</si>
  <si>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</si>
  <si>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</si>
  <si>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</si>
  <si>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</si>
  <si>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</si>
  <si>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</si>
  <si>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</si>
  <si>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</si>
  <si>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</si>
  <si>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</si>
  <si>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</si>
  <si>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</si>
  <si>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</si>
  <si>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</si>
  <si>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</si>
  <si>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</si>
  <si>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</si>
  <si>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</si>
  <si>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</si>
  <si>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</si>
  <si>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</si>
  <si>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</si>
  <si>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</si>
  <si>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</si>
  <si>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</si>
  <si>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</si>
  <si>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</si>
  <si>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</si>
  <si>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</si>
  <si>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</si>
  <si>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</si>
  <si>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</si>
  <si>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</si>
  <si>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</si>
  <si>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</si>
  <si>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</si>
  <si>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</si>
  <si>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</si>
  <si>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</si>
  <si>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</si>
  <si>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</si>
  <si>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</si>
  <si>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</si>
  <si>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</si>
  <si>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</si>
  <si>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</si>
  <si>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</si>
  <si>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</si>
  <si>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</si>
  <si>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</si>
  <si>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</si>
  <si>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</si>
  <si>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</si>
  <si>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</si>
  <si>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</si>
  <si>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</si>
  <si>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</si>
  <si>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</si>
  <si>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</si>
  <si>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</si>
  <si>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</si>
  <si>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</si>
  <si>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</si>
  <si>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</si>
  <si>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</si>
  <si>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</si>
  <si>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</si>
  <si>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</si>
  <si>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</si>
  <si>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</si>
  <si>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</si>
  <si>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</si>
  <si>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</si>
  <si>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</si>
  <si>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</si>
  <si>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</si>
  <si>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</si>
  <si>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</si>
  <si>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</si>
  <si>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</si>
  <si>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</si>
  <si>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</si>
  <si>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</si>
  <si>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</si>
  <si>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</si>
  <si>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</si>
  <si>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</si>
  <si>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</si>
  <si>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</si>
  <si>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</si>
  <si>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</si>
  <si>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</si>
  <si>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</si>
  <si>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</si>
  <si>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</si>
  <si>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</si>
  <si>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</si>
  <si>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</si>
  <si>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</si>
  <si>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</si>
  <si>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</si>
  <si>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</si>
  <si>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</si>
  <si>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</si>
  <si>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</si>
  <si>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</si>
  <si>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</si>
  <si>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</si>
  <si>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</si>
  <si>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</si>
  <si>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</si>
  <si>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</si>
  <si>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</si>
  <si>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</si>
  <si>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</si>
  <si>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</si>
  <si>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</si>
  <si>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</si>
  <si>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</si>
  <si>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</si>
  <si>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</si>
  <si>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</si>
  <si>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</si>
  <si>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</si>
  <si>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</si>
  <si>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</si>
  <si>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</si>
  <si>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</si>
  <si>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</si>
  <si>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</si>
  <si>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</si>
  <si>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</si>
  <si>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</si>
  <si>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</si>
  <si>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</si>
  <si>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</si>
  <si>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</si>
  <si>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</si>
  <si>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</si>
  <si>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</si>
  <si>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</si>
  <si>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</si>
  <si>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</si>
  <si>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</si>
  <si>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</si>
  <si>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</si>
  <si>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</si>
  <si>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</si>
  <si>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</si>
  <si>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</si>
  <si>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</si>
  <si>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</si>
  <si>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</si>
  <si>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</si>
  <si>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</si>
  <si>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</si>
  <si>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</si>
  <si>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</si>
  <si>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</si>
  <si>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</si>
  <si>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</si>
  <si>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</si>
  <si>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</si>
  <si>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</si>
  <si>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</si>
  <si>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</si>
  <si>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</si>
  <si>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</si>
  <si>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</si>
  <si>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</si>
  <si>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</si>
  <si>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</si>
  <si>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</si>
  <si>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</si>
  <si>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</si>
  <si>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</si>
  <si>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</si>
  <si>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</si>
  <si>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</si>
  <si>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</si>
  <si>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</si>
  <si>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</si>
  <si>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</si>
  <si>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</si>
  <si>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</si>
  <si>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</si>
  <si>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</si>
  <si>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</si>
  <si>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</si>
  <si>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</si>
  <si>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</si>
  <si>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</si>
  <si>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</si>
  <si>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</si>
  <si>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</si>
  <si>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</si>
  <si>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</si>
  <si>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</si>
  <si>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</si>
  <si>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</si>
  <si>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</si>
  <si>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</si>
  <si>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</si>
  <si>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</si>
  <si>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</si>
  <si>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</si>
  <si>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</si>
  <si>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</si>
  <si>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</si>
  <si>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</si>
  <si>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</si>
  <si>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</si>
  <si>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</si>
  <si>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</si>
  <si>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</si>
  <si>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</si>
  <si>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</si>
  <si>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</si>
  <si>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</si>
  <si>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</si>
  <si>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</si>
  <si>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</si>
  <si>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</si>
  <si>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</si>
  <si>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</si>
  <si>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</si>
  <si>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</si>
  <si>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</si>
  <si>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</si>
  <si>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</si>
  <si>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</si>
  <si>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</si>
  <si>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</si>
  <si>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</si>
  <si>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</si>
  <si>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</si>
  <si>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</si>
  <si>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</si>
  <si>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</si>
  <si>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</si>
  <si>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</si>
  <si>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</si>
  <si>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</si>
  <si>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</si>
  <si>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</si>
  <si>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</si>
  <si>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</si>
  <si>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</si>
  <si>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</si>
  <si>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</si>
  <si>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</si>
  <si>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</si>
  <si>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</si>
  <si>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</si>
  <si>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</si>
  <si>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</si>
  <si>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</si>
  <si>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</si>
  <si>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</si>
  <si>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</si>
  <si>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</si>
  <si>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</si>
  <si>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</si>
  <si>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</si>
  <si>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</si>
  <si>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</si>
  <si>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</si>
  <si>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</si>
  <si>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</si>
  <si>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</si>
  <si>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</si>
  <si>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</si>
  <si>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</si>
  <si>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</si>
  <si>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</si>
  <si>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</si>
  <si>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</si>
  <si>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</si>
  <si>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</si>
  <si>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</si>
  <si>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</si>
  <si>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</si>
  <si>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</si>
  <si>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</si>
  <si>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</si>
  <si>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</si>
  <si>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</si>
  <si>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</si>
  <si>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</si>
  <si>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</si>
  <si>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</si>
  <si>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</si>
  <si>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</si>
  <si>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</si>
  <si>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</si>
  <si>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</si>
  <si>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</si>
  <si>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</si>
  <si>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</si>
  <si>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</si>
  <si>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</si>
  <si>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</si>
  <si>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</si>
  <si>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</si>
  <si>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</si>
  <si>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</si>
  <si>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</si>
  <si>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</si>
  <si>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</si>
  <si>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</si>
  <si>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</si>
  <si>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</si>
  <si>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</si>
  <si>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</si>
  <si>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</si>
  <si>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</si>
  <si>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</si>
  <si>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</si>
  <si>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</si>
  <si>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</si>
  <si>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</si>
  <si>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</si>
  <si>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</si>
  <si>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</si>
  <si>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</si>
  <si>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</si>
  <si>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</si>
  <si>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</si>
  <si>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</si>
  <si>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</si>
  <si>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</si>
  <si>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</si>
  <si>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</si>
  <si>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</si>
  <si>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</si>
  <si>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</si>
  <si>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</si>
  <si>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</si>
  <si>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</si>
  <si>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</si>
  <si>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</si>
  <si>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</si>
  <si>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</si>
  <si>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</si>
  <si>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</si>
  <si>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</si>
  <si>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</si>
  <si>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</si>
  <si>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</si>
  <si>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</si>
  <si>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</si>
  <si>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</si>
  <si>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</si>
  <si>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</si>
  <si>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</si>
  <si>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</si>
  <si>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</si>
  <si>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</si>
  <si>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</si>
  <si>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</si>
  <si>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</si>
  <si>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</si>
  <si>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</si>
  <si>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</si>
  <si>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</si>
  <si>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</si>
  <si>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</si>
  <si>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</si>
  <si>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</si>
  <si>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</si>
  <si>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</si>
  <si>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</si>
  <si>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</si>
  <si>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</si>
  <si>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</si>
  <si>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</si>
  <si>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</si>
  <si>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</si>
  <si>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</si>
  <si>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</si>
  <si>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</si>
  <si>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</si>
  <si>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</si>
  <si>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</si>
  <si>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</si>
  <si>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</si>
  <si>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</si>
  <si>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</si>
  <si>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</si>
  <si>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</si>
  <si>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</si>
  <si>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</si>
  <si>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</si>
  <si>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</si>
  <si>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</si>
  <si>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</si>
  <si>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</si>
  <si>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</si>
  <si>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</si>
  <si>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</si>
  <si>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</si>
  <si>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</si>
  <si>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</si>
  <si>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</si>
  <si>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</si>
  <si>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</si>
  <si>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</si>
  <si>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</si>
  <si>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</si>
  <si>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</si>
  <si>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</si>
  <si>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</si>
  <si>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</si>
  <si>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</si>
  <si>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</si>
  <si>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</si>
  <si>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</si>
  <si>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</si>
  <si>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</si>
  <si>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</si>
  <si>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</si>
  <si>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</si>
  <si>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</si>
  <si>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</si>
  <si>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</si>
  <si>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</si>
  <si>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</si>
  <si>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</si>
  <si>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</si>
  <si>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</si>
  <si>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</si>
  <si>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</si>
  <si>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</si>
  <si>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</si>
  <si>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</si>
  <si>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</si>
  <si>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</si>
  <si>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</si>
  <si>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</si>
  <si>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</si>
  <si>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</si>
  <si>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</si>
  <si>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</si>
  <si>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</si>
  <si>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</si>
  <si>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</si>
  <si>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</si>
  <si>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</si>
  <si>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</si>
  <si>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</si>
  <si>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</si>
  <si>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</si>
  <si>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</si>
  <si>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</si>
  <si>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</si>
  <si>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</si>
  <si>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</si>
  <si>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</si>
  <si>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</si>
  <si>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</si>
  <si>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</si>
  <si>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</si>
  <si>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</si>
  <si>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</si>
  <si>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</si>
  <si>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</si>
  <si>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</si>
  <si>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</si>
  <si>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</si>
  <si>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</si>
  <si>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</si>
  <si>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</si>
  <si>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</si>
  <si>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</si>
  <si>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</si>
  <si>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</si>
  <si>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</si>
  <si>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</si>
  <si>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</si>
  <si>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</si>
  <si>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</si>
  <si>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</si>
  <si>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</si>
  <si>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</si>
  <si>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</si>
  <si>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</si>
  <si>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</si>
  <si>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</si>
  <si>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</si>
  <si>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</si>
  <si>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</si>
  <si>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</si>
  <si>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</si>
  <si>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</si>
  <si>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</si>
  <si>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</si>
  <si>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</si>
  <si>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</si>
  <si>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</si>
  <si>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</si>
  <si>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</si>
  <si>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</si>
  <si>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</si>
  <si>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</si>
  <si>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</si>
  <si>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</si>
  <si>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</si>
  <si>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</si>
  <si>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</si>
  <si>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</si>
  <si>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</si>
  <si>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</si>
  <si>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</si>
  <si>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</si>
  <si>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</si>
  <si>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</si>
  <si>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</si>
  <si>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</si>
  <si>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</si>
  <si>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</si>
  <si>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</si>
  <si>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</si>
  <si>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</si>
  <si>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</si>
  <si>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</si>
  <si>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</si>
  <si>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</si>
  <si>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</si>
  <si>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</si>
  <si>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</si>
  <si>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</si>
  <si>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</si>
  <si>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</si>
  <si>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</si>
  <si>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</si>
  <si>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</si>
  <si>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</si>
  <si>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</si>
  <si>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</si>
  <si>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</si>
  <si>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</si>
  <si>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</si>
  <si>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</si>
  <si>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</si>
  <si>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</si>
  <si>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</si>
  <si>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</si>
  <si>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</si>
  <si>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</si>
  <si>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</si>
  <si>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</si>
  <si>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</si>
  <si>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</si>
  <si>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</si>
  <si>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</si>
  <si>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</si>
  <si>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</si>
  <si>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</si>
  <si>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</si>
  <si>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</si>
  <si>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</si>
  <si>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</si>
  <si>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</si>
  <si>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</si>
  <si>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</si>
  <si>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</si>
  <si>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</si>
  <si>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</si>
  <si>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</si>
  <si>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</si>
  <si>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</si>
  <si>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</si>
  <si>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</si>
  <si>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</si>
  <si>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</si>
  <si>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</si>
  <si>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</si>
  <si>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</si>
  <si>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</si>
  <si>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</si>
  <si>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</si>
  <si>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</si>
  <si>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</si>
  <si>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</si>
  <si>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</si>
  <si>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</si>
  <si>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</si>
  <si>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</si>
  <si>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</si>
  <si>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</si>
  <si>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</si>
  <si>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</si>
  <si>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</si>
  <si>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</si>
  <si>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</si>
  <si>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</si>
  <si>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</si>
  <si>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</si>
  <si>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</si>
  <si>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</si>
  <si>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</si>
  <si>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</si>
  <si>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</si>
  <si>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</si>
  <si>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</si>
  <si>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</si>
  <si>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</si>
  <si>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</si>
  <si>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</si>
  <si>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</si>
  <si>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</si>
  <si>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</si>
  <si>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</si>
  <si>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</si>
  <si>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</si>
  <si>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</si>
  <si>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</si>
  <si>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</si>
  <si>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</si>
  <si>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</si>
  <si>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</si>
  <si>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</si>
  <si>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</si>
  <si>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</si>
  <si>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</si>
  <si>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</si>
  <si>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</si>
  <si>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</si>
  <si>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</si>
  <si>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</si>
  <si>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</si>
  <si>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</si>
  <si>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</si>
  <si>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</si>
  <si>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</si>
  <si>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</si>
  <si>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</si>
  <si>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</si>
  <si>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</si>
  <si>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</si>
  <si>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</si>
  <si>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</si>
  <si>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</si>
  <si>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</si>
  <si>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</si>
  <si>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</si>
  <si>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</si>
  <si>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</si>
  <si>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</si>
  <si>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</si>
  <si>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</si>
  <si>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</si>
  <si>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</si>
  <si>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</si>
  <si>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</si>
  <si>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</si>
  <si>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</si>
  <si>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</si>
  <si>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</si>
  <si>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</si>
  <si>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</si>
  <si>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</si>
  <si>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</si>
  <si>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</si>
  <si>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</si>
  <si>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</si>
  <si>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</si>
  <si>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</si>
  <si>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</si>
  <si>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</si>
  <si>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</si>
  <si>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</si>
  <si>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</si>
  <si>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</si>
  <si>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</si>
  <si>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</si>
  <si>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</si>
  <si>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</si>
  <si>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</si>
  <si>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</si>
  <si>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</si>
  <si>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</si>
  <si>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</si>
  <si>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</si>
  <si>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</si>
  <si>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</si>
  <si>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</si>
  <si>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</si>
  <si>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</si>
  <si>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</si>
  <si>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</si>
  <si>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</si>
  <si>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</si>
  <si>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</si>
  <si>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</si>
  <si>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</si>
  <si>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</si>
  <si>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</si>
  <si>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</si>
  <si>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</si>
  <si>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</si>
  <si>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</si>
  <si>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</si>
  <si>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</si>
  <si>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</si>
  <si>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</si>
  <si>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</si>
  <si>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</si>
  <si>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</si>
  <si>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</si>
  <si>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</si>
  <si>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</si>
  <si>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</si>
  <si>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</si>
  <si>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</si>
  <si>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</si>
  <si>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</si>
  <si>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</si>
  <si>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</si>
  <si>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</si>
  <si>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</si>
  <si>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</si>
  <si>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</si>
  <si>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</si>
  <si>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</si>
  <si>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</si>
  <si>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</si>
  <si>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</si>
  <si>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</si>
  <si>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</si>
  <si>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</si>
  <si>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</si>
  <si>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</si>
  <si>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</si>
  <si>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</si>
  <si>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</si>
  <si>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</si>
  <si>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</si>
  <si>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</si>
  <si>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</si>
  <si>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</si>
  <si>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</si>
  <si>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</si>
  <si>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</si>
  <si>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</si>
  <si>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</si>
  <si>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</si>
  <si>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</si>
  <si>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</si>
  <si>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</si>
  <si>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</si>
  <si>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</si>
  <si>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</si>
  <si>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</si>
  <si>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</si>
  <si>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</si>
  <si>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</si>
  <si>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</si>
  <si>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</si>
  <si>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</si>
  <si>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</si>
  <si>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</si>
  <si>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</si>
  <si>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</si>
  <si>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</si>
  <si>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</si>
  <si>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</si>
  <si>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</si>
  <si>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</si>
  <si>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</si>
  <si>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</si>
  <si>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</si>
  <si>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</si>
  <si>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</si>
  <si>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</si>
  <si>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</si>
  <si>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</si>
  <si>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</si>
  <si>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</si>
  <si>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</si>
  <si>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</si>
  <si>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</si>
  <si>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</si>
  <si>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</si>
  <si>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</si>
  <si>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</si>
  <si>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</si>
  <si>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</si>
  <si>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</si>
  <si>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</si>
  <si>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</si>
  <si>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</si>
  <si>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</si>
  <si>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</si>
  <si>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</si>
  <si>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</si>
  <si>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</si>
  <si>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</si>
  <si>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</si>
  <si>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</si>
  <si>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</si>
  <si>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</si>
  <si>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</si>
  <si>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</si>
  <si>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</si>
  <si>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</si>
  <si>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</si>
  <si>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</si>
  <si>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</si>
  <si>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</si>
  <si>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</si>
  <si>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</si>
  <si>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</si>
  <si>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</si>
  <si>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</si>
  <si>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</si>
  <si>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</si>
  <si>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</si>
  <si>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</si>
  <si>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</si>
  <si>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</si>
  <si>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</si>
  <si>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</si>
  <si>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</si>
  <si>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</si>
  <si>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</si>
  <si>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</si>
  <si>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</si>
  <si>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</si>
  <si>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</si>
  <si>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</si>
  <si>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</si>
  <si>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</si>
  <si>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</si>
  <si>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</si>
  <si>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</si>
  <si>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</si>
  <si>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</si>
  <si>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</si>
  <si>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</si>
  <si>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</si>
  <si>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</si>
  <si>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</si>
  <si>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</si>
  <si>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</si>
  <si>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</si>
  <si>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</si>
  <si>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</si>
  <si>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</si>
  <si>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</si>
  <si>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</si>
  <si>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</si>
  <si>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</si>
  <si>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</si>
  <si>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</si>
  <si>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</si>
  <si>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</si>
  <si>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</si>
  <si>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</si>
  <si>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</si>
  <si>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</si>
  <si>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</si>
  <si>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</si>
  <si>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</si>
  <si>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</si>
  <si>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</si>
  <si>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</si>
  <si>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</si>
  <si>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</si>
  <si>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</si>
  <si>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</si>
  <si>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</si>
  <si>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</si>
  <si>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</si>
  <si>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</si>
  <si>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</si>
  <si>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</si>
  <si>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</si>
  <si>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</si>
  <si>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</si>
  <si>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</si>
  <si>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</si>
  <si>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</si>
  <si>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</si>
  <si>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</si>
  <si>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</si>
  <si>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</si>
  <si>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</si>
  <si>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</si>
  <si>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</si>
  <si>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</si>
  <si>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</si>
  <si>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</si>
  <si>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</si>
  <si>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</si>
  <si>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</si>
  <si>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</si>
  <si>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</si>
  <si>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</si>
  <si>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</si>
  <si>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</si>
  <si>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</si>
  <si>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</si>
  <si>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</si>
  <si>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</si>
  <si>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</si>
  <si>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</si>
  <si>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</si>
  <si>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</si>
  <si>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</si>
  <si>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</si>
  <si>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</si>
  <si>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</si>
  <si>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</si>
  <si>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</si>
  <si>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</si>
  <si>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</si>
  <si>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</si>
  <si>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</si>
  <si>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</si>
  <si>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</si>
  <si>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</si>
  <si>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</si>
  <si>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</si>
  <si>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</si>
  <si>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</si>
  <si>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</si>
  <si>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</si>
  <si>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</si>
  <si>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</si>
  <si>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</si>
  <si>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</si>
  <si>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</si>
  <si>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</si>
  <si>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</si>
  <si>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</si>
  <si>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</si>
  <si>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</si>
  <si>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</si>
  <si>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</si>
  <si>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</si>
  <si>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</si>
  <si>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</si>
  <si>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</si>
  <si>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</si>
  <si>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</si>
  <si>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</si>
  <si>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</si>
  <si>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</si>
  <si>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</si>
  <si>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</si>
  <si>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</si>
  <si>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</si>
  <si>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</si>
  <si>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</si>
  <si>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</si>
  <si>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</si>
  <si>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</si>
  <si>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</si>
  <si>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</si>
  <si>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</si>
  <si>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</si>
  <si>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</si>
  <si>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</si>
  <si>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</si>
  <si>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</si>
  <si>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</si>
  <si>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</si>
  <si>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</si>
  <si>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</si>
  <si>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</si>
  <si>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</si>
  <si>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</si>
  <si>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</si>
  <si>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</si>
  <si>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</si>
  <si>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</si>
  <si>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</si>
  <si>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</si>
  <si>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</si>
  <si>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</si>
  <si>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</si>
  <si>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</si>
  <si>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</si>
  <si>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</si>
  <si>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</si>
  <si>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</si>
  <si>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</si>
  <si>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</si>
  <si>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</si>
  <si>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</si>
  <si>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</si>
  <si>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</si>
  <si>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</si>
  <si>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</si>
  <si>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</si>
  <si>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</si>
  <si>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</si>
  <si>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</si>
  <si>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</si>
  <si>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</si>
  <si>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</si>
  <si>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</si>
  <si>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</si>
  <si>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</si>
  <si>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</si>
  <si>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</si>
  <si>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</si>
  <si>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</si>
  <si>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</si>
  <si>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</si>
  <si>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</si>
  <si>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</si>
  <si>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</si>
  <si>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</si>
  <si>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</si>
  <si>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</si>
  <si>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</si>
  <si>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</si>
  <si>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</si>
  <si>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</si>
  <si>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</si>
  <si>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</si>
  <si>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</si>
  <si>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</si>
  <si>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</si>
  <si>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</si>
  <si>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</si>
  <si>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</si>
  <si>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</si>
  <si>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</si>
  <si>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</si>
  <si>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</si>
  <si>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</si>
  <si>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</si>
  <si>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</si>
  <si>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</si>
  <si>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</si>
  <si>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</si>
  <si>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</si>
  <si>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</si>
  <si>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</si>
  <si>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</si>
  <si>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</si>
  <si>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</si>
  <si>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</si>
  <si>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</si>
  <si>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</si>
  <si>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</si>
  <si>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</si>
  <si>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</si>
  <si>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</si>
  <si>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</si>
  <si>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</si>
  <si>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</si>
  <si>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</si>
  <si>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</si>
  <si>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</si>
  <si>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</si>
  <si>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</si>
  <si>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</si>
  <si>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</si>
  <si>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</si>
  <si>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</si>
  <si>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</si>
  <si>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</si>
  <si>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</si>
  <si>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</si>
  <si>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</si>
  <si>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</si>
  <si>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</si>
  <si>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</si>
  <si>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</si>
  <si>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</si>
  <si>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</si>
  <si>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</si>
  <si>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</si>
  <si>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</si>
  <si>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</si>
  <si>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</si>
  <si>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</si>
  <si>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</si>
  <si>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</si>
  <si>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</si>
  <si>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</si>
  <si>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</si>
  <si>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</si>
  <si>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</si>
  <si>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</si>
  <si>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</si>
  <si>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</si>
  <si>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</si>
  <si>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</si>
  <si>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</si>
  <si>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</si>
  <si>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</si>
  <si>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</si>
  <si>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</si>
  <si>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</si>
  <si>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</si>
  <si>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</si>
  <si>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</si>
  <si>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</si>
  <si>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</si>
  <si>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</si>
  <si>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</si>
  <si>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</si>
  <si>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</si>
  <si>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</si>
  <si>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</si>
  <si>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</si>
  <si>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</si>
  <si>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</si>
  <si>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</si>
  <si>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</si>
  <si>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</si>
  <si>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</si>
  <si>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</si>
  <si>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</si>
  <si>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</si>
  <si>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</si>
  <si>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</si>
  <si>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</si>
  <si>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</si>
  <si>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</si>
  <si>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</si>
  <si>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</si>
  <si>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</si>
  <si>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</si>
  <si>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</si>
  <si>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</si>
  <si>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</si>
  <si>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</si>
  <si>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</si>
  <si>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</si>
  <si>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</si>
  <si>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</si>
  <si>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</si>
  <si>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</si>
  <si>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</si>
  <si>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</si>
  <si>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</si>
  <si>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</si>
  <si>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</si>
  <si>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</si>
  <si>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</si>
  <si>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</si>
  <si>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</si>
  <si>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</si>
  <si>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</si>
  <si>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</si>
  <si>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</si>
  <si>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</si>
  <si>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</si>
  <si>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</si>
  <si>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</si>
  <si>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</si>
  <si>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</si>
  <si>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</si>
  <si>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</si>
  <si>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</si>
  <si>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</si>
  <si>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</si>
  <si>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</si>
  <si>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</si>
  <si>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</si>
  <si>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</si>
  <si>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</si>
  <si>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</si>
  <si>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</si>
  <si>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</si>
  <si>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</si>
  <si>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</si>
  <si>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</si>
  <si>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</si>
  <si>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</si>
  <si>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</si>
  <si>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</si>
  <si>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</si>
  <si>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</si>
  <si>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</si>
  <si>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</si>
  <si>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</si>
  <si>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</si>
  <si>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</si>
  <si>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</si>
  <si>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</si>
  <si>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</si>
  <si>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</si>
  <si>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</si>
  <si>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</si>
  <si>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</si>
  <si>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</si>
  <si>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</si>
  <si>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</si>
  <si>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</si>
  <si>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</si>
  <si>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</si>
  <si>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</si>
  <si>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</si>
  <si>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</si>
  <si>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</si>
  <si>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</si>
  <si>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</si>
  <si>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</si>
  <si>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</si>
  <si>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</si>
  <si>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</si>
  <si>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</si>
  <si>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</si>
  <si>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</si>
  <si>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</si>
  <si>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</si>
  <si>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</si>
  <si>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</si>
  <si>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</si>
  <si>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</si>
  <si>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</si>
  <si>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</si>
  <si>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</si>
  <si>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</si>
  <si>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</si>
  <si>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</si>
  <si>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</si>
  <si>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</si>
  <si>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</si>
  <si>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</si>
  <si>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</si>
  <si>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</si>
  <si>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</si>
  <si>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</si>
  <si>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</si>
  <si>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</si>
  <si>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</si>
  <si>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</si>
  <si>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</si>
  <si>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</si>
  <si>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</si>
  <si>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</si>
  <si>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</si>
  <si>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</si>
  <si>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</si>
  <si>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</si>
  <si>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</si>
  <si>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</si>
  <si>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</si>
  <si>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</si>
  <si>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</si>
  <si>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</si>
  <si>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</si>
  <si>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</si>
  <si>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</si>
  <si>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</si>
  <si>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</si>
  <si>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</si>
  <si>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</si>
  <si>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</si>
  <si>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</si>
  <si>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</si>
  <si>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</si>
  <si>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</si>
  <si>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</si>
  <si>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</si>
  <si>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</si>
  <si>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</si>
  <si>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</si>
  <si>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</si>
  <si>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</si>
  <si>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</si>
  <si>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</si>
  <si>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</si>
  <si>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</si>
  <si>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</si>
  <si>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</si>
  <si>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</si>
  <si>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</si>
  <si>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</si>
  <si>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</si>
  <si>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</si>
  <si>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</si>
  <si>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</si>
  <si>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</si>
  <si>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</si>
  <si>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</si>
  <si>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</si>
  <si>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</si>
  <si>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</si>
  <si>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</si>
  <si>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</si>
  <si>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</si>
  <si>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</si>
  <si>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</si>
  <si>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</si>
  <si>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</si>
  <si>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</si>
  <si>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</si>
  <si>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</si>
  <si>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</si>
  <si>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</si>
  <si>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</si>
  <si>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</si>
  <si>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</si>
  <si>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</si>
  <si>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</si>
  <si>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</si>
  <si>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</si>
  <si>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</si>
  <si>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</si>
  <si>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</si>
  <si>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</si>
  <si>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</si>
  <si>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</si>
  <si>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</si>
  <si>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</si>
  <si>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</si>
  <si>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</si>
  <si>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</si>
  <si>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</si>
  <si>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</si>
  <si>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</si>
  <si>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</si>
  <si>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</si>
  <si>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</si>
  <si>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</si>
  <si>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</si>
  <si>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</si>
  <si>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</si>
  <si>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</si>
  <si>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</si>
  <si>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</si>
  <si>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</si>
  <si>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</si>
  <si>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</si>
  <si>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</si>
  <si>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</si>
  <si>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</si>
  <si>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</si>
  <si>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</si>
  <si>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</si>
  <si>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</si>
  <si>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</si>
  <si>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</si>
  <si>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</si>
  <si>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</si>
  <si>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</si>
  <si>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</si>
  <si>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</si>
  <si>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</si>
  <si>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</si>
  <si>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</si>
  <si>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</si>
  <si>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</si>
  <si>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</si>
  <si>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</si>
  <si>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</si>
  <si>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</si>
  <si>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</si>
  <si>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</si>
  <si>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</si>
  <si>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</si>
  <si>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</si>
  <si>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</si>
  <si>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</si>
  <si>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</si>
  <si>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</si>
  <si>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</si>
  <si>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</si>
  <si>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</si>
  <si>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</si>
  <si>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</si>
  <si>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</si>
  <si>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</si>
  <si>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</si>
  <si>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</si>
  <si>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</si>
  <si>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</si>
  <si>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</si>
  <si>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</si>
  <si>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</si>
  <si>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</si>
  <si>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</si>
  <si>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</si>
  <si>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</si>
  <si>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</si>
  <si>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</si>
  <si>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</si>
  <si>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</si>
  <si>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</si>
  <si>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</si>
  <si>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</si>
  <si>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</si>
  <si>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</si>
  <si>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</si>
  <si>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</si>
  <si>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</si>
  <si>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</si>
  <si>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</si>
  <si>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</si>
  <si>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</si>
  <si>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</si>
  <si>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</si>
  <si>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</si>
  <si>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</si>
  <si>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</si>
  <si>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</si>
  <si>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</si>
  <si>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</si>
  <si>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</si>
  <si>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</si>
  <si>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</si>
  <si>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</si>
  <si>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</si>
  <si>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</si>
  <si>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</si>
  <si>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</si>
  <si>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</si>
  <si>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</si>
  <si>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</si>
  <si>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</si>
  <si>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</si>
  <si>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</si>
  <si>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</si>
  <si>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</si>
  <si>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</si>
  <si>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</si>
  <si>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</si>
  <si>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</si>
  <si>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</si>
  <si>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</si>
  <si>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</si>
  <si>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</si>
  <si>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</si>
  <si>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</si>
  <si>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</si>
  <si>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</si>
  <si>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</si>
  <si>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</si>
  <si>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</si>
  <si>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</si>
  <si>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</si>
  <si>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</si>
  <si>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</si>
  <si>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</si>
  <si>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</si>
  <si>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</si>
  <si>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</si>
  <si>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</si>
  <si>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</si>
  <si>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</si>
  <si>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</si>
  <si>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</si>
  <si>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</si>
  <si>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</si>
  <si>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</si>
  <si>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</si>
  <si>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</si>
  <si>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</si>
  <si>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</si>
  <si>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</si>
  <si>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</si>
  <si>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</si>
  <si>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</si>
  <si>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</si>
  <si>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</si>
  <si>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</si>
  <si>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</si>
  <si>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</si>
  <si>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</si>
  <si>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</si>
  <si>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</si>
  <si>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</si>
  <si>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</si>
  <si>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</si>
  <si>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</si>
  <si>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</si>
  <si>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</si>
  <si>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</si>
  <si>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</si>
  <si>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</si>
  <si>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</si>
  <si>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</si>
  <si>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</si>
  <si>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</si>
  <si>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</si>
  <si>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</si>
  <si>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</si>
  <si>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</si>
  <si>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</si>
  <si>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</si>
  <si>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</si>
  <si>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</si>
  <si>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</si>
  <si>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</si>
  <si>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</si>
  <si>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</si>
  <si>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</si>
  <si>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</si>
  <si>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</si>
  <si>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</si>
  <si>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</si>
  <si>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</si>
  <si>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</si>
  <si>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</si>
  <si>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</si>
  <si>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</si>
  <si>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</si>
  <si>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</si>
  <si>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</si>
  <si>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</si>
  <si>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</si>
  <si>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</si>
  <si>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</si>
  <si>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</si>
  <si>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</si>
  <si>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</si>
  <si>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</si>
  <si>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</si>
  <si>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</si>
  <si>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</si>
  <si>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</si>
  <si>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</si>
  <si>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</si>
  <si>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</si>
  <si>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</si>
  <si>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</si>
  <si>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</si>
  <si>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</si>
  <si>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</si>
  <si>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</si>
  <si>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</si>
  <si>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</si>
  <si>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</si>
  <si>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</si>
  <si>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</si>
  <si>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</si>
  <si>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</si>
  <si>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</si>
  <si>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</si>
  <si>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</si>
  <si>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</si>
  <si>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</si>
  <si>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</si>
  <si>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</si>
  <si>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</si>
  <si>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</si>
  <si>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</si>
  <si>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</si>
  <si>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</si>
  <si>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</si>
  <si>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</si>
  <si>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</si>
  <si>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</si>
  <si>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</si>
  <si>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</si>
  <si>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</si>
  <si>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</si>
  <si>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</si>
  <si>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</si>
  <si>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</si>
  <si>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</si>
  <si>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</si>
  <si>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</si>
  <si>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</si>
  <si>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</si>
  <si>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</si>
  <si>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</si>
  <si>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</si>
  <si>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</si>
  <si>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</si>
  <si>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</si>
  <si>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</si>
  <si>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</si>
  <si>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</si>
  <si>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</si>
  <si>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</si>
  <si>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</si>
  <si>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</si>
  <si>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</si>
  <si>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</si>
  <si>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</si>
  <si>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</si>
  <si>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</si>
  <si>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</si>
  <si>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</si>
  <si>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</si>
  <si>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</si>
  <si>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</si>
  <si>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</si>
  <si>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</si>
  <si>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</si>
  <si>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</si>
  <si>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</si>
  <si>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</si>
  <si>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</si>
  <si>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</si>
  <si>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</si>
  <si>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</si>
  <si>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</si>
  <si>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</si>
  <si>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</si>
  <si>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</si>
  <si>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</si>
  <si>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</si>
  <si>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</si>
  <si>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</si>
  <si>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</si>
  <si>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</si>
  <si>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</si>
  <si>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</si>
  <si>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</si>
  <si>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</si>
  <si>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</si>
  <si>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</si>
  <si>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</si>
  <si>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</si>
  <si>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</si>
  <si>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</si>
  <si>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</si>
  <si>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</si>
  <si>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</si>
  <si>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</si>
  <si>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</si>
  <si>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</si>
  <si>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</si>
  <si>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</si>
  <si>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</si>
  <si>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</si>
  <si>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</si>
  <si>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</si>
  <si>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</si>
  <si>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</si>
  <si>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</si>
  <si>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</si>
  <si>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</si>
  <si>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</si>
  <si>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</si>
  <si>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</si>
  <si>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</si>
  <si>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</si>
  <si>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</si>
  <si>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</si>
  <si>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</si>
  <si>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</si>
  <si>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</si>
  <si>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</si>
  <si>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</si>
  <si>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</si>
  <si>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</si>
  <si>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</si>
  <si>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</si>
  <si>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</si>
  <si>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</si>
  <si>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</si>
  <si>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</si>
  <si>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</si>
  <si>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</si>
  <si>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</si>
  <si>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</si>
  <si>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</si>
  <si>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</si>
  <si>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</si>
  <si>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</si>
  <si>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</si>
  <si>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</si>
  <si>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</si>
  <si>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</si>
  <si>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</si>
  <si>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</si>
  <si>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</si>
  <si>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</si>
  <si>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</si>
  <si>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</si>
  <si>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</si>
  <si>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</si>
  <si>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</si>
  <si>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</si>
  <si>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</si>
  <si>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</si>
  <si>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</si>
  <si>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</si>
  <si>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</si>
  <si>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</si>
  <si>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</si>
  <si>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</si>
  <si>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</si>
  <si>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</si>
  <si>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</si>
  <si>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</si>
  <si>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</si>
  <si>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</si>
  <si>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</si>
  <si>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</si>
  <si>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</si>
  <si>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</si>
  <si>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</si>
  <si>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</si>
  <si>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</si>
  <si>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</si>
  <si>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</si>
  <si>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</si>
  <si>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</si>
  <si>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</si>
  <si>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</si>
  <si>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</si>
  <si>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</si>
  <si>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</si>
  <si>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</si>
  <si>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</si>
  <si>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</si>
  <si>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</si>
  <si>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</si>
  <si>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</si>
  <si>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</si>
  <si>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</si>
  <si>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</si>
  <si>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</si>
  <si>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</si>
  <si>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</si>
  <si>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</si>
  <si>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</si>
  <si>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</si>
  <si>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</si>
  <si>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</si>
  <si>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</si>
  <si>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</si>
  <si>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</si>
  <si>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</si>
  <si>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</si>
  <si>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</si>
  <si>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</si>
  <si>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</si>
  <si>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</si>
  <si>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</si>
  <si>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</si>
  <si>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</si>
  <si>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</si>
  <si>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</si>
  <si>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</si>
  <si>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</si>
  <si>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</si>
  <si>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</si>
  <si>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</si>
  <si>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</si>
  <si>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</si>
  <si>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</si>
  <si>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</si>
  <si>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</si>
  <si>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</si>
  <si>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</si>
  <si>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</si>
  <si>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</si>
  <si>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</si>
  <si>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</si>
  <si>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</si>
  <si>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</si>
  <si>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</si>
  <si>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</si>
  <si>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</si>
  <si>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</si>
  <si>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</si>
  <si>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</si>
  <si>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</si>
  <si>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</si>
  <si>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</si>
  <si>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</si>
  <si>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</si>
  <si>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</si>
  <si>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</si>
  <si>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</si>
  <si>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</si>
  <si>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</si>
  <si>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</si>
  <si>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</si>
  <si>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</si>
  <si>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</si>
  <si>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</si>
  <si>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</si>
  <si>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</si>
  <si>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</si>
  <si>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</si>
  <si>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</si>
  <si>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</si>
  <si>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</si>
  <si>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</si>
  <si>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</si>
  <si>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</si>
  <si>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</si>
  <si>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</si>
  <si>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</si>
  <si>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</si>
  <si>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</si>
  <si>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</si>
  <si>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</si>
  <si>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</si>
  <si>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</si>
  <si>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</si>
  <si>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</si>
  <si>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</si>
  <si>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</si>
  <si>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</si>
  <si>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</si>
  <si>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</si>
  <si>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</si>
  <si>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</si>
  <si>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</si>
  <si>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</si>
  <si>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</si>
  <si>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</si>
  <si>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</si>
  <si>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</si>
  <si>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</si>
  <si>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</si>
  <si>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</si>
  <si>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</si>
  <si>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</si>
  <si>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</si>
  <si>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</si>
  <si>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</si>
  <si>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</si>
  <si>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</si>
  <si>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</si>
  <si>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</si>
  <si>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</si>
  <si>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</si>
  <si>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</si>
  <si>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</si>
  <si>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</si>
  <si>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</si>
  <si>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</si>
  <si>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</si>
  <si>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</si>
  <si>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</si>
  <si>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</si>
  <si>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</si>
  <si>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</si>
  <si>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</si>
  <si>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</si>
  <si>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</si>
  <si>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</si>
  <si>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</si>
  <si>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</si>
  <si>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</si>
  <si>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</si>
  <si>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</si>
  <si>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</si>
  <si>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</si>
  <si>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</si>
  <si>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</si>
  <si>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</si>
  <si>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</si>
  <si>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</si>
  <si>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</si>
  <si>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</si>
  <si>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</si>
  <si>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</si>
  <si>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</si>
  <si>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</si>
  <si>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</si>
  <si>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</si>
  <si>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</si>
  <si>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</si>
  <si>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</si>
  <si>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</si>
  <si>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</si>
  <si>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</si>
  <si>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</si>
  <si>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</si>
  <si>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</si>
  <si>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</si>
  <si>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</si>
  <si>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</si>
  <si>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</si>
  <si>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</si>
  <si>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</si>
  <si>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</si>
  <si>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</si>
  <si>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</si>
  <si>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</si>
  <si>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</si>
  <si>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</si>
  <si>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</si>
  <si>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</si>
  <si>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</si>
  <si>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</si>
  <si>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</si>
  <si>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</si>
  <si>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</si>
  <si>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</si>
  <si>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</si>
  <si>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</si>
  <si>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</si>
  <si>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</si>
  <si>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</si>
  <si>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</si>
  <si>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</si>
  <si>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</si>
  <si>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</si>
  <si>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</si>
  <si>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</si>
  <si>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</si>
  <si>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</si>
  <si>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</si>
  <si>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</si>
  <si>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</si>
  <si>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</si>
  <si>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</si>
  <si>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</si>
  <si>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</si>
  <si>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</si>
  <si>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</si>
  <si>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</si>
  <si>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</si>
  <si>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</si>
  <si>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</si>
  <si>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</si>
  <si>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</si>
  <si>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</si>
  <si>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</si>
  <si>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</si>
  <si>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</si>
  <si>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</si>
  <si>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</si>
  <si>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</si>
  <si>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</si>
  <si>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</si>
  <si>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</si>
  <si>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</si>
  <si>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</si>
  <si>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</si>
  <si>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</si>
  <si>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</si>
  <si>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</si>
  <si>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</si>
  <si>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</si>
  <si>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</si>
  <si>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</si>
  <si>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</si>
  <si>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</si>
  <si>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</si>
  <si>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</si>
  <si>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</si>
  <si>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</si>
  <si>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</si>
  <si>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</si>
  <si>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</si>
  <si>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</si>
  <si>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</si>
  <si>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</si>
  <si>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</si>
  <si>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</si>
  <si>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</si>
  <si>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</si>
  <si>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</si>
  <si>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</si>
  <si>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</si>
  <si>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</si>
  <si>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</si>
  <si>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</si>
  <si>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</si>
  <si>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</si>
  <si>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</si>
  <si>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</si>
  <si>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</si>
  <si>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</si>
  <si>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</si>
  <si>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</si>
  <si>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</si>
  <si>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</si>
  <si>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</si>
  <si>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</si>
  <si>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</si>
  <si>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</si>
  <si>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</si>
  <si>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</si>
  <si>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</si>
  <si>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</si>
  <si>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</si>
  <si>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</si>
  <si>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</si>
  <si>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</si>
  <si>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</si>
  <si>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</si>
  <si>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</si>
  <si>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</si>
  <si>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</si>
  <si>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</si>
  <si>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</si>
  <si>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</si>
  <si>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</si>
  <si>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</si>
  <si>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</si>
  <si>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</si>
  <si>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</si>
  <si>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</si>
  <si>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</si>
  <si>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</si>
  <si>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</si>
  <si>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</si>
  <si>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</si>
  <si>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</si>
  <si>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</si>
  <si>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</si>
  <si>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</si>
  <si>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</si>
  <si>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</si>
  <si>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</si>
  <si>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</si>
  <si>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</si>
  <si>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</si>
  <si>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</si>
  <si>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</si>
  <si>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</si>
  <si>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</si>
  <si>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</si>
  <si>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</si>
  <si>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</si>
  <si>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</si>
  <si>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</si>
  <si>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</si>
  <si>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</si>
  <si>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</si>
  <si>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</si>
  <si>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</si>
  <si>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</si>
  <si>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</si>
  <si>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</si>
  <si>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</si>
  <si>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</si>
  <si>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</si>
  <si>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</si>
  <si>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</si>
  <si>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</si>
  <si>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</si>
  <si>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</si>
  <si>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</si>
  <si>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</si>
  <si>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</si>
  <si>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</si>
  <si>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</si>
  <si>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</si>
  <si>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</si>
  <si>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</si>
  <si>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</si>
  <si>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</si>
  <si>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</si>
  <si>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</si>
  <si>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</si>
  <si>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</si>
  <si>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</si>
  <si>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</si>
  <si>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</si>
  <si>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</si>
  <si>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</si>
  <si>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</si>
  <si>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</si>
  <si>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</si>
  <si>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</si>
  <si>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</si>
  <si>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</si>
  <si>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</si>
  <si>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</si>
  <si>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</si>
  <si>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</si>
  <si>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</si>
  <si>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</si>
  <si>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</si>
  <si>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</si>
  <si>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</si>
  <si>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</si>
  <si>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</si>
  <si>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</si>
  <si>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</si>
  <si>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</si>
  <si>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</si>
  <si>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</si>
  <si>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</si>
  <si>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</si>
  <si>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</si>
  <si>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</si>
  <si>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</si>
  <si>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</si>
  <si>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</si>
  <si>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</si>
  <si>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</si>
  <si>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</si>
  <si>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</si>
  <si>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</si>
  <si>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</si>
  <si>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</si>
  <si>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</si>
  <si>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</si>
  <si>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</si>
  <si>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</si>
  <si>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</si>
  <si>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</si>
  <si>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</si>
  <si>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</si>
  <si>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</si>
  <si>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</si>
  <si>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</si>
  <si>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</si>
  <si>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</si>
  <si>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</si>
  <si>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</si>
  <si>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</si>
  <si>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</si>
  <si>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</si>
  <si>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</si>
  <si>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</si>
  <si>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</si>
  <si>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</si>
  <si>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</si>
  <si>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</si>
  <si>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</si>
  <si>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</si>
  <si>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</si>
  <si>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</si>
  <si>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</si>
  <si>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</si>
  <si>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</si>
  <si>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</si>
  <si>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</si>
  <si>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</si>
  <si>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</si>
  <si>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</si>
  <si>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</si>
  <si>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</si>
  <si>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</si>
  <si>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</si>
  <si>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</si>
  <si>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</si>
  <si>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</si>
  <si>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</si>
  <si>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</si>
  <si>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</si>
  <si>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</si>
  <si>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</si>
  <si>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</si>
  <si>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</si>
  <si>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</si>
  <si>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</si>
  <si>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</si>
  <si>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</si>
  <si>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</si>
  <si>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</si>
  <si>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</si>
  <si>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</si>
  <si>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</si>
  <si>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</si>
  <si>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</si>
  <si>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</si>
  <si>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</si>
  <si>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</si>
  <si>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</si>
  <si>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</si>
  <si>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</si>
  <si>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</si>
  <si>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</si>
  <si>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</si>
  <si>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</si>
  <si>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</si>
  <si>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</si>
  <si>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</si>
  <si>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</si>
  <si>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</si>
  <si>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</si>
  <si>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</si>
  <si>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</si>
  <si>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</si>
  <si>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</si>
  <si>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</si>
  <si>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</si>
  <si>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</si>
  <si>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</si>
  <si>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</si>
  <si>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</si>
  <si>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</si>
  <si>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</si>
  <si>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</si>
  <si>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</si>
  <si>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</si>
  <si>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</si>
  <si>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</si>
  <si>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</si>
  <si>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</si>
  <si>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</si>
  <si>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</si>
  <si>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</si>
  <si>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</si>
  <si>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</si>
  <si>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</si>
  <si>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</si>
  <si>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</si>
  <si>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</si>
  <si>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</si>
  <si>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</si>
  <si>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</si>
  <si>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</si>
  <si>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</si>
  <si>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</si>
  <si>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</si>
  <si>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</si>
  <si>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</si>
  <si>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</si>
  <si>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</si>
  <si>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</si>
  <si>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</si>
  <si>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</si>
  <si>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</si>
  <si>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</si>
  <si>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</si>
  <si>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</si>
  <si>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</si>
  <si>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</si>
  <si>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</si>
  <si>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</si>
  <si>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</si>
  <si>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</si>
  <si>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</si>
  <si>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</si>
  <si>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</si>
  <si>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</si>
  <si>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</si>
  <si>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</si>
  <si>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</si>
  <si>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</si>
  <si>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</si>
  <si>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</si>
  <si>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</si>
  <si>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</si>
  <si>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</si>
  <si>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</si>
  <si>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</si>
  <si>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</si>
  <si>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</si>
  <si>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</si>
  <si>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</si>
  <si>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</si>
  <si>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</si>
  <si>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</si>
  <si>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</si>
  <si>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</si>
  <si>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</si>
  <si>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</si>
  <si>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</si>
  <si>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</si>
  <si>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</si>
  <si>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</si>
  <si>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</si>
  <si>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</si>
  <si>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</si>
  <si>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</si>
  <si>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</si>
  <si>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</si>
  <si>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</si>
  <si>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</si>
  <si>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</si>
  <si>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</si>
  <si>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</si>
  <si>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</si>
  <si>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</si>
  <si>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</si>
  <si>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</si>
  <si>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</si>
  <si>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</si>
  <si>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</si>
  <si>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</si>
  <si>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</si>
  <si>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</si>
  <si>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</si>
  <si>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</si>
  <si>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</si>
  <si>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</si>
  <si>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</si>
  <si>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</si>
  <si>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</si>
  <si>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</si>
  <si>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</si>
  <si>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</si>
  <si>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</si>
  <si>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</si>
  <si>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</si>
  <si>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</si>
  <si>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</si>
  <si>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</si>
  <si>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</si>
  <si>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</si>
  <si>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</si>
  <si>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</si>
  <si>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</si>
  <si>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</si>
  <si>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</si>
  <si>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</si>
  <si>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</si>
  <si>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</si>
  <si>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</si>
  <si>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</si>
  <si>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</si>
  <si>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</si>
  <si>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</si>
  <si>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</si>
  <si>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</si>
  <si>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</si>
  <si>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</si>
  <si>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</si>
  <si>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</si>
  <si>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</si>
  <si>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</si>
  <si>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</si>
  <si>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</si>
  <si>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</si>
  <si>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</si>
  <si>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</si>
  <si>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</si>
  <si>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</si>
  <si>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</si>
  <si>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</si>
  <si>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</si>
  <si>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</si>
  <si>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</si>
  <si>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</si>
  <si>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</si>
  <si>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</si>
  <si>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</si>
  <si>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</si>
  <si>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</si>
  <si>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</si>
  <si>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</si>
  <si>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</si>
  <si>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</si>
  <si>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</si>
  <si>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</si>
  <si>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</si>
  <si>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</si>
  <si>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</si>
  <si>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</si>
  <si>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</si>
  <si>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</si>
  <si>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</si>
  <si>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</si>
  <si>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</si>
  <si>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</si>
  <si>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</si>
  <si>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</si>
  <si>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</si>
  <si>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</si>
  <si>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</si>
  <si>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</si>
  <si>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</si>
  <si>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</si>
  <si>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</si>
  <si>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</si>
  <si>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</si>
  <si>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</si>
  <si>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</si>
  <si>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</si>
  <si>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</si>
  <si>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</si>
  <si>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</si>
  <si>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</si>
  <si>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</si>
  <si>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</si>
  <si>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</si>
  <si>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</si>
  <si>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</si>
  <si>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</si>
  <si>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</si>
  <si>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</si>
  <si>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</si>
  <si>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</si>
  <si>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</si>
  <si>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</si>
  <si>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</si>
  <si>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</si>
  <si>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</si>
  <si>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</si>
  <si>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</si>
  <si>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</si>
  <si>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</si>
  <si>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</si>
  <si>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</si>
  <si>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</si>
  <si>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</si>
  <si>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</si>
  <si>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</si>
  <si>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</si>
  <si>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</si>
  <si>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</si>
  <si>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</si>
  <si>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</si>
  <si>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</si>
  <si>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</si>
  <si>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</si>
  <si>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</si>
  <si>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</si>
  <si>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</si>
  <si>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</si>
  <si>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</si>
  <si>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</si>
  <si>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</si>
  <si>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</si>
  <si>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</si>
  <si>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</si>
  <si>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</si>
  <si>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</si>
  <si>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</si>
  <si>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</si>
  <si>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</si>
  <si>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</si>
  <si>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</si>
  <si>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</si>
  <si>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</si>
  <si>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</si>
  <si>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</si>
  <si>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</si>
  <si>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</si>
  <si>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</si>
  <si>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</si>
  <si>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</si>
  <si>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</si>
  <si>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</si>
  <si>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</si>
  <si>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</si>
  <si>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</si>
  <si>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</si>
  <si>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</si>
  <si>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</si>
  <si>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</si>
  <si>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</si>
  <si>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</si>
  <si>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</si>
  <si>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</si>
  <si>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</si>
  <si>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</si>
  <si>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</si>
  <si>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</si>
  <si>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</si>
  <si>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</si>
  <si>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</si>
  <si>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</si>
  <si>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</si>
  <si>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</si>
  <si>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</si>
  <si>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</si>
  <si>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</si>
  <si>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</si>
  <si>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</si>
  <si>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</si>
  <si>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</si>
  <si>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</si>
  <si>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</si>
  <si>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</si>
  <si>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</si>
  <si>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</si>
  <si>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</si>
  <si>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</si>
  <si>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</si>
  <si>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</si>
  <si>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</si>
  <si>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</si>
  <si>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</si>
  <si>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</si>
  <si>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</si>
  <si>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</si>
  <si>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</si>
  <si>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</si>
  <si>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</si>
  <si>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</si>
  <si>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</si>
  <si>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</si>
  <si>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</si>
  <si>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</si>
  <si>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</si>
  <si>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</si>
  <si>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</si>
  <si>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</si>
  <si>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</si>
  <si>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</si>
  <si>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</si>
  <si>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</si>
  <si>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</si>
  <si>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</si>
  <si>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</si>
  <si>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</si>
  <si>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</si>
  <si>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</si>
  <si>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</si>
  <si>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</si>
  <si>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</si>
  <si>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</si>
  <si>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</si>
  <si>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</si>
  <si>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</si>
  <si>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</si>
  <si>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</si>
  <si>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</si>
  <si>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</si>
  <si>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</si>
  <si>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</si>
  <si>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</si>
  <si>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</si>
  <si>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</si>
  <si>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</si>
  <si>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</si>
  <si>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</si>
  <si>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</si>
  <si>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</si>
  <si>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</si>
  <si>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</si>
  <si>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</si>
  <si>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</si>
  <si>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</si>
  <si>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</si>
  <si>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</si>
  <si>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</si>
  <si>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</si>
  <si>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</si>
  <si>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</si>
  <si>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</si>
  <si>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</si>
  <si>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</si>
  <si>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</si>
  <si>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</si>
  <si>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</si>
  <si>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</si>
  <si>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</si>
  <si>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</si>
  <si>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</si>
  <si>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</si>
  <si>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</si>
  <si>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</si>
  <si>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</si>
  <si>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</si>
  <si>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</si>
  <si>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</si>
  <si>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</si>
  <si>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</si>
  <si>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</si>
  <si>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</si>
  <si>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</si>
  <si>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</si>
  <si>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</si>
  <si>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</si>
  <si>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</si>
  <si>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</si>
  <si>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</si>
  <si>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</si>
  <si>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</si>
  <si>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</si>
  <si>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</si>
  <si>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</si>
  <si>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</si>
  <si>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</si>
  <si>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</si>
  <si>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</si>
  <si>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</si>
  <si>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</si>
  <si>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</si>
  <si>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</si>
  <si>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</si>
  <si>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</si>
  <si>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</si>
  <si>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</si>
  <si>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</si>
  <si>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</si>
  <si>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</si>
  <si>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</si>
  <si>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</si>
  <si>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</si>
  <si>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</si>
  <si>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</si>
  <si>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</si>
  <si>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</si>
  <si>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</si>
  <si>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</si>
  <si>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</si>
  <si>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</si>
  <si>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</si>
  <si>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</si>
  <si>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</si>
  <si>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</si>
  <si>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</si>
  <si>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</si>
  <si>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</si>
  <si>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</si>
  <si>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</si>
  <si>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</si>
  <si>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</si>
  <si>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</si>
  <si>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</si>
  <si>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</si>
  <si>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</si>
  <si>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</si>
  <si>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</si>
  <si>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</si>
  <si>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</si>
  <si>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</si>
  <si>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</si>
  <si>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</si>
  <si>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</si>
  <si>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</si>
  <si>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</si>
  <si>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</si>
  <si>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</si>
  <si>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</si>
  <si>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</si>
  <si>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</si>
  <si>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</si>
  <si>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</si>
  <si>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</si>
  <si>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</si>
  <si>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</si>
  <si>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</si>
  <si>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</si>
  <si>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</si>
  <si>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</si>
  <si>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</si>
  <si>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</si>
  <si>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</si>
  <si>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</si>
  <si>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</si>
  <si>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</si>
  <si>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</si>
  <si>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</si>
  <si>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</si>
  <si>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</si>
  <si>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</si>
  <si>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</si>
  <si>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</si>
  <si>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</si>
  <si>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</si>
  <si>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</si>
  <si>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</si>
  <si>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</si>
  <si>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</si>
  <si>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</si>
  <si>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</si>
  <si>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</si>
  <si>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</si>
  <si>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</si>
  <si>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</si>
  <si>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</si>
  <si>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</si>
  <si>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</si>
  <si>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</si>
  <si>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</si>
  <si>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</si>
  <si>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</si>
  <si>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</si>
  <si>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</si>
  <si>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</si>
  <si>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</si>
  <si>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</si>
  <si>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</si>
  <si>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</si>
  <si>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</si>
  <si>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</si>
  <si>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</si>
  <si>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</si>
  <si>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</si>
  <si>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</si>
  <si>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</si>
  <si>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</si>
  <si>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</si>
  <si>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</si>
  <si>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</si>
  <si>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</si>
  <si>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</si>
  <si>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</si>
  <si>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</si>
  <si>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</si>
  <si>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</si>
  <si>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</si>
  <si>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</si>
  <si>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</si>
  <si>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</si>
  <si>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</si>
  <si>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</si>
  <si>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</si>
  <si>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</si>
  <si>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</si>
  <si>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</si>
  <si>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</si>
  <si>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</si>
  <si>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</si>
  <si>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</si>
  <si>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</si>
  <si>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</si>
  <si>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</si>
  <si>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</si>
  <si>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</si>
  <si>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</si>
  <si>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</si>
  <si>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</si>
  <si>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</si>
  <si>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</si>
  <si>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</si>
  <si>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</si>
  <si>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</si>
  <si>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</si>
  <si>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</si>
  <si>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</si>
  <si>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</si>
  <si>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</si>
  <si>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</si>
  <si>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</si>
  <si>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</si>
  <si>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</si>
  <si>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</si>
  <si>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</si>
  <si>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</si>
  <si>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</si>
  <si>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</si>
  <si>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</si>
  <si>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</si>
  <si>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</si>
  <si>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</si>
  <si>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</si>
  <si>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</si>
  <si>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</si>
  <si>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</si>
  <si>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</si>
  <si>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</si>
  <si>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</si>
  <si>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</si>
  <si>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</si>
  <si>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</si>
  <si>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</si>
  <si>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</si>
  <si>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</si>
  <si>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</si>
  <si>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</si>
  <si>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</si>
  <si>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</si>
  <si>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</si>
  <si>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</si>
  <si>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</si>
  <si>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</si>
  <si>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</si>
  <si>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</si>
  <si>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</si>
  <si>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</si>
  <si>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</si>
  <si>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</si>
  <si>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</si>
  <si>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</si>
  <si>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</si>
  <si>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</si>
  <si>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</si>
  <si>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</si>
  <si>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</si>
  <si>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</si>
  <si>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</si>
  <si>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</si>
  <si>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</si>
  <si>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</si>
  <si>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</si>
  <si>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</si>
  <si>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</si>
  <si>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</si>
  <si>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</si>
  <si>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</si>
  <si>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</si>
  <si>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</si>
  <si>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</si>
  <si>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</si>
  <si>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</si>
  <si>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</si>
  <si>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</si>
  <si>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</si>
  <si>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</si>
  <si>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</si>
  <si>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</si>
  <si>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</si>
  <si>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</si>
  <si>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</si>
  <si>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</si>
  <si>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</si>
  <si>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</si>
  <si>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</si>
  <si>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</si>
  <si>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</si>
  <si>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</si>
  <si>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</si>
  <si>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</si>
  <si>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</si>
  <si>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</si>
  <si>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</si>
  <si>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</si>
  <si>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</si>
  <si>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</si>
  <si>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</si>
  <si>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</si>
  <si>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</si>
  <si>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</si>
  <si>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</si>
  <si>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</si>
  <si>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</si>
  <si>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</si>
  <si>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</si>
  <si>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</si>
  <si>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</si>
  <si>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</si>
  <si>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</si>
  <si>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</si>
  <si>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</si>
  <si>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</si>
  <si>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</si>
  <si>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</si>
  <si>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</si>
  <si>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</si>
  <si>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</si>
  <si>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</si>
  <si>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</si>
  <si>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</si>
  <si>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</si>
  <si>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</si>
  <si>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</si>
  <si>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</si>
  <si>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</si>
  <si>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</si>
  <si>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</si>
  <si>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</si>
  <si>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</si>
  <si>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</si>
  <si>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</si>
  <si>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</si>
  <si>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</si>
  <si>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</si>
  <si>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</si>
  <si>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</si>
  <si>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</si>
  <si>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</si>
  <si>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</si>
  <si>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</si>
  <si>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</si>
  <si>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</si>
  <si>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</si>
  <si>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</si>
  <si>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</si>
  <si>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</si>
  <si>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</si>
  <si>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</si>
  <si>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</si>
  <si>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</si>
  <si>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</si>
  <si>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</si>
  <si>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</si>
  <si>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</si>
  <si>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</si>
  <si>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</si>
  <si>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</si>
  <si>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</si>
  <si>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</si>
  <si>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</si>
  <si>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</si>
  <si>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</si>
  <si>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</si>
  <si>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</si>
  <si>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</si>
  <si>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</si>
  <si>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</si>
  <si>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</si>
  <si>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</si>
  <si>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</si>
  <si>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</si>
  <si>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</si>
  <si>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</si>
  <si>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</si>
  <si>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</si>
  <si>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</si>
  <si>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</si>
  <si>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</si>
  <si>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</si>
  <si>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</si>
  <si>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</si>
  <si>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</si>
  <si>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</si>
  <si>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</si>
  <si>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</si>
  <si>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</si>
  <si>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</si>
  <si>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</si>
  <si>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</si>
  <si>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</si>
  <si>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</si>
  <si>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</si>
  <si>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</si>
  <si>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</si>
  <si>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</si>
  <si>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</si>
  <si>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</si>
  <si>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</si>
  <si>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</si>
  <si>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</si>
  <si>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</si>
  <si>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</si>
  <si>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</si>
  <si>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</si>
  <si>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</si>
  <si>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</si>
  <si>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</si>
  <si>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</si>
  <si>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</si>
  <si>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</si>
  <si>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</si>
  <si>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</si>
  <si>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</si>
  <si>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</si>
  <si>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</si>
  <si>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</si>
  <si>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</si>
  <si>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</si>
  <si>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</si>
  <si>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</si>
  <si>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</si>
  <si>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</si>
  <si>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</si>
  <si>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</si>
  <si>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</si>
  <si>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</si>
  <si>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</si>
  <si>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</si>
  <si>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</si>
  <si>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</si>
  <si>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</si>
  <si>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</si>
  <si>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</si>
  <si>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</si>
  <si>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</si>
  <si>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</si>
  <si>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</si>
  <si>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</si>
  <si>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</si>
  <si>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</si>
  <si>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</si>
  <si>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</si>
  <si>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</si>
  <si>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</si>
  <si>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</si>
  <si>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</si>
  <si>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</si>
  <si>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</si>
  <si>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</si>
  <si>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</si>
  <si>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</si>
  <si>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</si>
  <si>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</si>
  <si>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</si>
  <si>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</si>
  <si>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</si>
  <si>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</si>
  <si>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</si>
  <si>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</si>
  <si>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</si>
  <si>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</si>
  <si>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</si>
  <si>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</si>
  <si>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</si>
  <si>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</si>
  <si>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</si>
  <si>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</si>
  <si>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</si>
  <si>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</si>
  <si>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</si>
  <si>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</si>
  <si>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</si>
  <si>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</si>
  <si>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</si>
  <si>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</si>
  <si>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</si>
  <si>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</si>
  <si>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</si>
  <si>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</si>
  <si>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</si>
  <si>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</si>
  <si>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</si>
  <si>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</si>
  <si>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</si>
  <si>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</si>
  <si>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</si>
  <si>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</si>
  <si>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</si>
  <si>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</si>
  <si>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</si>
  <si>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</si>
  <si>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</si>
  <si>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</si>
  <si>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</si>
  <si>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</si>
  <si>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</si>
  <si>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</si>
  <si>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</si>
  <si>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</si>
  <si>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</si>
  <si>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</si>
  <si>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</si>
  <si>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</si>
  <si>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</si>
  <si>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</si>
  <si>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</si>
  <si>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</si>
  <si>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</si>
  <si>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</si>
  <si>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</si>
  <si>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</si>
  <si>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</si>
  <si>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</si>
  <si>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</si>
  <si>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</si>
  <si>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</si>
  <si>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</si>
  <si>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</si>
  <si>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</si>
  <si>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</si>
  <si>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</si>
  <si>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</si>
  <si>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</si>
  <si>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</si>
  <si>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</si>
  <si>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</si>
  <si>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</si>
  <si>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</si>
  <si>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</si>
  <si>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</si>
  <si>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</si>
  <si>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</si>
  <si>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</si>
  <si>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</si>
  <si>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</si>
  <si>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</si>
  <si>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</si>
  <si>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</si>
  <si>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</si>
  <si>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</si>
  <si>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</si>
  <si>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</si>
  <si>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</si>
  <si>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</si>
  <si>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</si>
  <si>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</si>
  <si>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</si>
  <si>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</si>
  <si>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</si>
  <si>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</si>
  <si>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</si>
  <si>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</si>
  <si>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</si>
  <si>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</si>
  <si>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</si>
  <si>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</si>
  <si>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</si>
  <si>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</si>
  <si>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</si>
  <si>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</si>
  <si>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</si>
  <si>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</si>
  <si>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</si>
  <si>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</si>
  <si>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</si>
  <si>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</si>
  <si>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</si>
  <si>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</si>
  <si>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</si>
  <si>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</si>
  <si>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</si>
  <si>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</si>
  <si>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</si>
  <si>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</si>
  <si>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</si>
  <si>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</si>
  <si>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</si>
  <si>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</si>
  <si>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</si>
  <si>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</si>
  <si>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</si>
  <si>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</si>
  <si>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</si>
  <si>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</si>
  <si>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</si>
  <si>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</si>
  <si>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</si>
  <si>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</si>
  <si>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</si>
  <si>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</si>
  <si>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</si>
  <si>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</si>
  <si>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</si>
  <si>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</si>
  <si>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</si>
  <si>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</si>
  <si>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</si>
  <si>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</si>
  <si>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</si>
  <si>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</si>
  <si>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</si>
  <si>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</si>
  <si>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</si>
  <si>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</si>
  <si>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</si>
  <si>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</si>
  <si>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</si>
  <si>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</si>
  <si>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</si>
  <si>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</si>
  <si>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</si>
  <si>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</si>
  <si>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</si>
  <si>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</si>
  <si>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</si>
  <si>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</si>
  <si>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</si>
  <si>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</si>
  <si>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</si>
  <si>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</si>
  <si>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</si>
  <si>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</si>
  <si>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</si>
  <si>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</si>
  <si>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</si>
  <si>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</si>
  <si>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</si>
  <si>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</si>
  <si>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</si>
  <si>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</si>
  <si>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</si>
  <si>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</si>
  <si>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</si>
  <si>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</si>
  <si>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</si>
  <si>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</si>
  <si>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</si>
  <si>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</si>
  <si>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</si>
  <si>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</si>
  <si>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</si>
  <si>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</si>
  <si>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</si>
  <si>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</si>
  <si>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</si>
  <si>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</si>
  <si>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</si>
  <si>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</si>
  <si>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</si>
  <si>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</si>
  <si>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</si>
  <si>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</si>
  <si>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</si>
  <si>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</si>
  <si>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</si>
  <si>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</si>
  <si>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</si>
  <si>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</si>
  <si>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</si>
  <si>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</si>
  <si>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</si>
  <si>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</si>
  <si>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</si>
  <si>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</si>
  <si>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</si>
  <si>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</si>
  <si>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</si>
  <si>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</si>
  <si>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</si>
  <si>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</si>
  <si>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</si>
  <si>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</si>
  <si>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</si>
  <si>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</si>
  <si>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</si>
  <si>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</si>
  <si>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</si>
  <si>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</si>
  <si>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</si>
  <si>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</si>
  <si>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</si>
  <si>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</si>
  <si>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</si>
  <si>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</si>
  <si>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</si>
  <si>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</si>
  <si>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</si>
  <si>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</si>
  <si>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</si>
  <si>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</si>
  <si>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</si>
  <si>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</si>
  <si>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</si>
  <si>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</si>
  <si>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</si>
  <si>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</si>
  <si>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</si>
  <si>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</si>
  <si>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</si>
  <si>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</si>
  <si>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</si>
  <si>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</si>
  <si>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</si>
  <si>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</si>
  <si>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</si>
  <si>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</si>
  <si>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</si>
  <si>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</si>
  <si>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</si>
  <si>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</si>
  <si>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</si>
  <si>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</si>
  <si>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</si>
  <si>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</si>
  <si>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</si>
  <si>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</si>
  <si>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</si>
  <si>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</si>
  <si>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</si>
  <si>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</si>
  <si>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</si>
  <si>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</si>
  <si>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</si>
  <si>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</si>
  <si>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</si>
  <si>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</si>
  <si>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</si>
  <si>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</si>
  <si>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</si>
  <si>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</si>
  <si>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</si>
  <si>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</si>
  <si>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</si>
  <si>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</si>
  <si>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</si>
  <si>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</si>
  <si>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</si>
  <si>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</si>
  <si>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</si>
  <si>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</si>
  <si>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</si>
  <si>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</si>
  <si>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</si>
  <si>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</si>
  <si>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</si>
  <si>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</si>
  <si>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</si>
  <si>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</si>
  <si>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</si>
  <si>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</si>
  <si>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</si>
  <si>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</si>
  <si>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</si>
  <si>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</si>
  <si>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</si>
  <si>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</si>
  <si>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</si>
  <si>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</si>
  <si>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</si>
  <si>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</si>
  <si>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</si>
  <si>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</si>
  <si>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</si>
  <si>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</si>
  <si>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</si>
  <si>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</si>
  <si>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</si>
  <si>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</si>
  <si>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</si>
  <si>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</si>
  <si>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</si>
  <si>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</si>
  <si>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</si>
  <si>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</si>
  <si>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</si>
  <si>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</si>
  <si>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</si>
  <si>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</si>
  <si>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</si>
  <si>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</si>
  <si>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</si>
  <si>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</si>
  <si>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</si>
  <si>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</si>
  <si>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</si>
  <si>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</si>
  <si>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</si>
  <si>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</si>
  <si>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</si>
  <si>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</si>
  <si>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</si>
  <si>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</si>
  <si>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</si>
  <si>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</si>
  <si>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</si>
  <si>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</si>
  <si>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</si>
  <si>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</si>
  <si>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</si>
  <si>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</si>
  <si>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</si>
  <si>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</si>
  <si>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</si>
  <si>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</si>
  <si>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</si>
  <si>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</si>
  <si>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</si>
  <si>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</si>
  <si>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</si>
  <si>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</si>
  <si>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</si>
  <si>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</si>
  <si>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</si>
  <si>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</si>
  <si>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</si>
  <si>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</si>
  <si>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</si>
  <si>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</si>
  <si>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</si>
  <si>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</si>
  <si>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</si>
  <si>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</si>
  <si>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</si>
  <si>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</si>
  <si>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</si>
  <si>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</si>
  <si>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</si>
  <si>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</si>
  <si>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</si>
  <si>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</si>
  <si>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</si>
  <si>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</si>
  <si>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</si>
  <si>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</si>
  <si>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</si>
  <si>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</si>
  <si>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</si>
  <si>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</si>
  <si>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</si>
  <si>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</si>
  <si>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</si>
  <si>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</si>
  <si>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</si>
  <si>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</si>
  <si>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</si>
  <si>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</si>
  <si>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</si>
  <si>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</si>
  <si>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</si>
  <si>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</si>
  <si>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</si>
  <si>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</si>
  <si>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</si>
  <si>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</si>
  <si>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</si>
  <si>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</si>
  <si>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</si>
  <si>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</si>
  <si>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</si>
  <si>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</si>
  <si>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</si>
  <si>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</si>
  <si>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</si>
  <si>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</si>
  <si>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</si>
  <si>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</si>
  <si>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</si>
  <si>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</si>
  <si>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</si>
  <si>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</si>
  <si>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</si>
  <si>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</si>
  <si>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</si>
  <si>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</si>
  <si>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</si>
  <si>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</si>
  <si>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</si>
  <si>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</si>
  <si>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</si>
  <si>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</si>
  <si>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</si>
  <si>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</si>
  <si>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</si>
  <si>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</si>
  <si>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</si>
  <si>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</si>
  <si>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</si>
  <si>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</si>
  <si>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</si>
  <si>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</si>
  <si>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</si>
  <si>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</si>
  <si>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</si>
  <si>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</si>
  <si>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</si>
  <si>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</si>
  <si>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</si>
  <si>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</si>
  <si>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</si>
  <si>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</si>
  <si>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</si>
  <si>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</si>
  <si>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</si>
  <si>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</si>
  <si>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</si>
  <si>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</si>
  <si>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</si>
  <si>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</si>
  <si>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</si>
  <si>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</si>
  <si>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</si>
  <si>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</si>
  <si>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</si>
  <si>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</si>
  <si>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</si>
  <si>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</si>
  <si>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</si>
  <si>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</si>
  <si>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</si>
  <si>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</si>
  <si>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</si>
  <si>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</si>
  <si>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</si>
  <si>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</si>
  <si>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</si>
  <si>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</si>
  <si>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</si>
  <si>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</si>
  <si>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</si>
  <si>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</si>
  <si>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</si>
  <si>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</si>
  <si>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</si>
  <si>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</si>
  <si>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</si>
  <si>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</si>
  <si>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</si>
  <si>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</si>
  <si>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</si>
  <si>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</si>
  <si>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</si>
  <si>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</si>
  <si>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</si>
  <si>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</si>
  <si>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</si>
  <si>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</si>
  <si>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</si>
  <si>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</si>
  <si>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</si>
  <si>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</si>
  <si>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</si>
  <si>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</si>
  <si>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</si>
  <si>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</si>
  <si>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</si>
  <si>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</si>
  <si>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</si>
  <si>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</si>
  <si>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</si>
  <si>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</si>
  <si>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</si>
  <si>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</si>
  <si>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</si>
  <si>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</si>
  <si>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</si>
  <si>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</si>
  <si>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</si>
  <si>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</si>
  <si>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</si>
  <si>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</si>
  <si>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</si>
  <si>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</si>
  <si>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</si>
  <si>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</si>
  <si>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</si>
  <si>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</si>
  <si>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</si>
  <si>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</si>
  <si>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</si>
  <si>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</si>
  <si>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</si>
  <si>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</si>
  <si>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</si>
  <si>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</si>
  <si>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</si>
  <si>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</si>
  <si>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</si>
  <si>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</si>
  <si>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</si>
  <si>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</si>
  <si>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</si>
  <si>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</si>
  <si>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</si>
  <si>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</si>
  <si>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</si>
  <si>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</si>
  <si>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</si>
  <si>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</si>
  <si>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</si>
  <si>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</si>
  <si>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</si>
  <si>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</si>
  <si>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</si>
  <si>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</si>
  <si>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</si>
  <si>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</si>
  <si>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</si>
  <si>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</si>
  <si>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</si>
  <si>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</si>
  <si>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</si>
  <si>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</si>
  <si>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</si>
  <si>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</si>
  <si>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</si>
  <si>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</si>
  <si>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</si>
  <si>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</si>
  <si>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</si>
  <si>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</si>
  <si>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</si>
  <si>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</si>
  <si>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</si>
  <si>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</si>
  <si>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</si>
  <si>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</si>
  <si>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</si>
  <si>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</si>
  <si>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</si>
  <si>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</si>
  <si>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</si>
  <si>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</si>
  <si>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</si>
  <si>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</si>
  <si>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</si>
  <si>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</si>
  <si>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</si>
  <si>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</si>
  <si>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</si>
  <si>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</si>
  <si>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</si>
  <si>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</si>
  <si>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</si>
  <si>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</si>
  <si>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</si>
  <si>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</si>
  <si>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</si>
  <si>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</si>
  <si>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</si>
  <si>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</si>
  <si>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</si>
  <si>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</si>
  <si>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</si>
  <si>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</si>
  <si>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</si>
  <si>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</si>
  <si>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</si>
  <si>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</si>
  <si>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</si>
  <si>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</si>
  <si>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</si>
  <si>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</si>
  <si>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</si>
  <si>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</si>
  <si>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</si>
  <si>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</si>
  <si>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</si>
  <si>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</si>
  <si>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</si>
  <si>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</si>
  <si>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</si>
  <si>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</si>
  <si>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</si>
  <si>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</si>
  <si>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</si>
  <si>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</si>
  <si>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</si>
  <si>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</si>
  <si>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</si>
  <si>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</si>
  <si>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</si>
  <si>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</si>
  <si>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</si>
  <si>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</si>
  <si>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</si>
  <si>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</si>
  <si>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</si>
  <si>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</si>
  <si>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</si>
  <si>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</si>
  <si>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</si>
  <si>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</si>
  <si>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</si>
  <si>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</si>
  <si>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</si>
  <si>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</si>
  <si>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</si>
  <si>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</si>
  <si>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</si>
  <si>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</si>
  <si>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</si>
  <si>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</si>
  <si>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</si>
  <si>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</si>
  <si>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</si>
  <si>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</si>
  <si>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</si>
  <si>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</si>
  <si>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</si>
  <si>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</si>
  <si>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</si>
  <si>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</si>
  <si>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</si>
  <si>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</si>
  <si>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</si>
  <si>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</si>
  <si>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</si>
  <si>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</si>
  <si>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</si>
  <si>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</si>
  <si>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</si>
  <si>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</si>
  <si>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</si>
  <si>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</si>
  <si>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</si>
  <si>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</si>
  <si>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</si>
  <si>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</si>
  <si>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</si>
  <si>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</si>
  <si>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</si>
  <si>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</si>
  <si>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</si>
  <si>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</si>
  <si>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</si>
  <si>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</si>
  <si>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</si>
  <si>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</si>
  <si>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</si>
  <si>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</si>
  <si>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</si>
  <si>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</si>
  <si>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</si>
  <si>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</si>
  <si>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</si>
  <si>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</si>
  <si>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</si>
  <si>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</si>
  <si>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</si>
  <si>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</si>
  <si>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</si>
  <si>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</si>
  <si>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</si>
  <si>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</si>
  <si>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</si>
  <si>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</si>
  <si>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</si>
  <si>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</si>
  <si>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</si>
  <si>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</si>
  <si>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</si>
  <si>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</si>
  <si>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</si>
  <si>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</si>
  <si>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</si>
  <si>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</si>
  <si>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</si>
  <si>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</si>
  <si>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</si>
  <si>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</si>
  <si>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</si>
  <si>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</si>
  <si>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</si>
  <si>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</si>
  <si>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</si>
  <si>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</si>
  <si>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</si>
  <si>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</si>
  <si>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</si>
  <si>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</si>
  <si>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</si>
  <si>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</si>
  <si>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</si>
  <si>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</si>
  <si>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</si>
  <si>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</si>
  <si>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</si>
  <si>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</si>
  <si>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</si>
  <si>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</si>
  <si>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</si>
  <si>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</si>
  <si>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</si>
  <si>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</si>
  <si>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</si>
  <si>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</si>
  <si>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</si>
  <si>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</si>
  <si>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</si>
  <si>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</si>
  <si>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</si>
  <si>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</si>
  <si>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</si>
  <si>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</si>
  <si>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</si>
  <si>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</si>
  <si>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</si>
  <si>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</si>
  <si>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</si>
  <si>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</si>
  <si>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</si>
  <si>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</si>
  <si>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</si>
  <si>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</si>
  <si>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</si>
  <si>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</si>
  <si>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</si>
  <si>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</si>
  <si>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</si>
  <si>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</si>
  <si>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</si>
  <si>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</si>
  <si>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</si>
  <si>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</si>
  <si>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</si>
  <si>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</si>
  <si>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</si>
  <si>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</si>
  <si>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</si>
  <si>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</si>
  <si>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</si>
  <si>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</si>
  <si>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</si>
  <si>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</si>
  <si>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</si>
  <si>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</si>
  <si>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</si>
  <si>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</si>
  <si>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</si>
  <si>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</si>
  <si>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</si>
  <si>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</si>
  <si>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</si>
  <si>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</si>
  <si>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</si>
  <si>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</si>
  <si>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</si>
  <si>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</si>
  <si>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</si>
  <si>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</si>
  <si>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</si>
  <si>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</si>
  <si>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</si>
  <si>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</si>
  <si>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</si>
  <si>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</si>
  <si>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</si>
  <si>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</si>
  <si>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</si>
  <si>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</si>
  <si>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</si>
  <si>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</si>
  <si>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</si>
  <si>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</si>
  <si>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</si>
  <si>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</si>
  <si>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</si>
  <si>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</si>
  <si>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</si>
  <si>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</si>
  <si>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</si>
  <si>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</si>
  <si>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</si>
  <si>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</si>
  <si>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</si>
  <si>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</si>
  <si>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</si>
  <si>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</si>
  <si>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</si>
  <si>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</si>
  <si>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</si>
  <si>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</si>
  <si>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</si>
  <si>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</si>
  <si>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</si>
  <si>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</si>
  <si>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</si>
  <si>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</si>
  <si>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</si>
  <si>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</si>
  <si>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</si>
  <si>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</si>
  <si>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</si>
  <si>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</si>
  <si>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</si>
  <si>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</si>
  <si>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</si>
  <si>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</si>
  <si>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</si>
  <si>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</si>
  <si>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</si>
  <si>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</si>
  <si>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</si>
  <si>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</si>
  <si>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</si>
  <si>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</si>
  <si>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</si>
  <si>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</si>
  <si>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</si>
  <si>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</si>
  <si>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</si>
  <si>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</si>
  <si>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</si>
  <si>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</si>
  <si>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</si>
  <si>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</si>
  <si>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</si>
  <si>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</si>
  <si>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</si>
  <si>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</si>
  <si>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</si>
  <si>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</si>
  <si>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</si>
  <si>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</si>
  <si>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</si>
  <si>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</si>
  <si>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</si>
  <si>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</si>
  <si>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</si>
  <si>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</si>
  <si>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</si>
  <si>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</si>
  <si>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</si>
  <si>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</si>
  <si>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</si>
  <si>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</si>
  <si>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</si>
  <si>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</si>
  <si>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</si>
  <si>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</si>
  <si>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</si>
  <si>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</si>
  <si>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</si>
  <si>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</si>
  <si>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</si>
  <si>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</si>
  <si>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</si>
  <si>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</si>
  <si>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</si>
  <si>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</si>
  <si>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</si>
  <si>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</si>
  <si>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</si>
  <si>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</si>
  <si>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</si>
  <si>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</si>
  <si>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</si>
  <si>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</si>
  <si>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</si>
  <si>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</si>
  <si>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</si>
  <si>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</si>
  <si>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</si>
  <si>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</si>
  <si>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</si>
  <si>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</si>
  <si>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</si>
  <si>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</si>
  <si>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</si>
  <si>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</si>
  <si>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</si>
  <si>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</si>
  <si>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</si>
  <si>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</si>
  <si>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</si>
  <si>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</si>
  <si>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</si>
  <si>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</si>
  <si>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</si>
  <si>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</si>
  <si>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</si>
  <si>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</si>
  <si>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</si>
  <si>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</si>
  <si>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</si>
  <si>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</si>
  <si>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</si>
  <si>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</si>
  <si>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</si>
  <si>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</si>
  <si>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</si>
  <si>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</si>
  <si>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</si>
  <si>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</si>
  <si>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</si>
  <si>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</si>
  <si>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</si>
  <si>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</si>
  <si>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</si>
  <si>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</si>
  <si>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</si>
  <si>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</si>
  <si>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</si>
  <si>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</si>
  <si>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</si>
  <si>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</si>
  <si>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</si>
  <si>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</si>
  <si>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</si>
  <si>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</si>
  <si>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</si>
  <si>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</si>
  <si>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</si>
  <si>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</si>
  <si>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</si>
  <si>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</si>
  <si>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</si>
  <si>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</si>
  <si>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</si>
  <si>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</si>
  <si>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</si>
  <si>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</si>
  <si>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</si>
  <si>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</si>
  <si>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</si>
  <si>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</si>
  <si>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</si>
  <si>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</si>
  <si>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</si>
  <si>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</si>
  <si>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</si>
  <si>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</si>
  <si>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</si>
  <si>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</si>
  <si>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</si>
  <si>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</si>
  <si>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</si>
  <si>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</si>
  <si>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</si>
  <si>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</si>
  <si>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</si>
  <si>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</si>
  <si>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</si>
  <si>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</si>
  <si>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</si>
  <si>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</si>
  <si>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</si>
  <si>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</si>
  <si>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</si>
  <si>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</si>
  <si>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</si>
  <si>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</si>
  <si>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</si>
  <si>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</si>
  <si>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</si>
  <si>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</si>
  <si>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</si>
  <si>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</si>
  <si>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</si>
  <si>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</si>
  <si>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</si>
  <si>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</si>
  <si>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</si>
  <si>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</si>
  <si>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</si>
  <si>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</si>
  <si>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</si>
  <si>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</si>
  <si>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</si>
  <si>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</si>
  <si>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</si>
  <si>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</si>
  <si>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</si>
  <si>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</si>
  <si>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</si>
  <si>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</si>
  <si>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</si>
  <si>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</si>
  <si>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</si>
  <si>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</si>
  <si>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</si>
  <si>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</si>
  <si>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</si>
  <si>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</si>
  <si>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</si>
  <si>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</si>
  <si>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</si>
  <si>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</si>
  <si>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</si>
  <si>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</si>
  <si>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</si>
  <si>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</si>
  <si>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</si>
  <si>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</si>
  <si>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</si>
  <si>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</si>
  <si>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</si>
  <si>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</si>
  <si>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</si>
  <si>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</si>
  <si>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</si>
  <si>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</si>
  <si>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</si>
  <si>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</si>
  <si>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</si>
  <si>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</si>
  <si>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</si>
  <si>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</si>
  <si>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</si>
  <si>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</si>
  <si>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</si>
  <si>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</si>
  <si>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</si>
  <si>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</si>
  <si>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</si>
  <si>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</si>
  <si>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</si>
  <si>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</si>
  <si>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</si>
  <si>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</si>
  <si>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</si>
  <si>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</si>
  <si>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</si>
  <si>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</si>
  <si>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</si>
  <si>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</si>
  <si>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</si>
  <si>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</si>
  <si>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</si>
  <si>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</si>
  <si>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</si>
  <si>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</si>
  <si>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</si>
  <si>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</si>
  <si>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</si>
  <si>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</si>
  <si>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</si>
  <si>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</si>
  <si>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</si>
  <si>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</si>
  <si>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</si>
  <si>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</si>
  <si>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</si>
  <si>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</si>
  <si>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</si>
  <si>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</si>
  <si>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</si>
  <si>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</si>
  <si>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</si>
  <si>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</si>
  <si>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</si>
  <si>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</si>
  <si>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</si>
  <si>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</si>
  <si>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</si>
  <si>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</si>
  <si>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</si>
  <si>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</si>
  <si>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</si>
  <si>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</si>
  <si>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</si>
  <si>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</si>
  <si>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</si>
  <si>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</si>
  <si>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</si>
  <si>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</si>
  <si>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</si>
  <si>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</si>
  <si>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</si>
  <si>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</si>
  <si>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</si>
  <si>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</si>
  <si>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</si>
  <si>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</si>
  <si>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</si>
  <si>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</si>
  <si>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</si>
  <si>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</si>
  <si>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</si>
  <si>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</si>
  <si>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</si>
  <si>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Retention &amp; Churn Analysis Dashboard</t>
  </si>
  <si>
    <t>Total Customers</t>
  </si>
  <si>
    <t>COUNTA of customerID</t>
  </si>
  <si>
    <t>Churn Customers</t>
  </si>
  <si>
    <t>Retained Customers</t>
  </si>
  <si>
    <t>Churn Rate</t>
  </si>
  <si>
    <t>Grand Total</t>
  </si>
  <si>
    <t>AVERAGE of MonthlyCharges</t>
  </si>
  <si>
    <t>Key Insights:</t>
  </si>
  <si>
    <t>1. Month-to-month contract customers show the highest churn.
2. Customers using electronic check payment methods churn more frequently.
3. Customers with higher monthly charges tend to leave faster.
4. Long-term contracts improve customer retention.</t>
  </si>
  <si>
    <t>Recommendations:</t>
  </si>
  <si>
    <t>1. Offer discounts for yearly subscriptions.
2. Improve support for high-risk customers.
3. Introduce loyalty rewards and retention offers.
4. Reduce pricing pressure through bundled plans.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</si>
</sst>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0B5394"/>
      <name val="Times New Roman"/>
    </font>
    <font>
      <b/>
      <color rgb="FF0B5394"/>
      <name val="Times New Roman"/>
    </font>
    <font>
      <color theme="1"/>
      <name val="Times New Roman"/>
    </font>
    <font>
      <sz val="12.0"/>
      <color rgb="FF000000"/>
      <name val="Georgia"/>
    </font>
    <font>
      <color rgb="FF000000"/>
      <name val="Georgia"/>
    </font>
    <font>
      <sz val="12.0"/>
      <color theme="1"/>
      <name val="Georgia"/>
    </font>
    <font>
      <b/>
      <sz val="16.0"/>
      <color rgb="FF3C78D8"/>
      <name val="Lexend"/>
    </font>
    <font>
      <sz val="16.0"/>
      <color theme="1"/>
      <name val="Spectral"/>
    </font>
    <font>
      <sz val="16.0"/>
      <color theme="1"/>
      <name val="Lexend"/>
    </font>
    <font>
      <i/>
      <sz val="16.0"/>
      <color rgb="FF000000"/>
      <name val="Lexend"/>
    </font>
    <font>
      <b/>
      <sz val="16.0"/>
      <color rgb="FF38761D"/>
      <name val="Lexend"/>
    </font>
    <font>
      <sz val="14.0"/>
      <color theme="1"/>
      <name val="Spectral"/>
    </font>
    <font>
      <b/>
      <sz val="16.0"/>
      <color rgb="FF674EA7"/>
      <name val="Lexend"/>
    </font>
    <font>
      <b/>
      <sz val="16.0"/>
      <color rgb="FF990000"/>
      <name val="Lexend"/>
    </font>
    <font>
      <sz val="16.0"/>
      <color theme="1"/>
      <name val="Arial"/>
      <scheme val="minor"/>
    </font>
    <font>
      <b/>
      <sz val="16.0"/>
      <color rgb="FF4C1130"/>
      <name val="Lexend"/>
    </font>
    <font>
      <b/>
      <i/>
      <sz val="16.0"/>
      <color rgb="FF4C1130"/>
      <name val="Lexend"/>
    </font>
    <font>
      <sz val="14.0"/>
      <color theme="1"/>
      <name val="Georgia"/>
    </font>
    <font>
      <sz val="16.0"/>
      <color rgb="FF4C1130"/>
      <name val="Arial"/>
      <scheme val="minor"/>
    </font>
    <font>
      <b/>
      <sz val="22.0"/>
      <color rgb="FFCC4125"/>
      <name val="Oswald"/>
    </font>
    <font>
      <sz val="13.0"/>
      <color theme="1"/>
      <name val="Times New Roman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b/>
      <sz val="22.0"/>
      <color rgb="FF8E7CC3"/>
      <name val="Oswald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/>
    </xf>
    <xf borderId="0" fillId="0" fontId="4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/>
    </xf>
    <xf borderId="1" fillId="3" fontId="10" numFmtId="0" xfId="0" applyBorder="1" applyFill="1" applyFont="1"/>
    <xf borderId="1" fillId="3" fontId="11" numFmtId="0" xfId="0" applyBorder="1" applyFont="1"/>
    <xf borderId="1" fillId="0" fontId="12" numFmtId="0" xfId="0" applyAlignment="1" applyBorder="1" applyFont="1">
      <alignment readingOrder="0"/>
    </xf>
    <xf borderId="1" fillId="2" fontId="13" numFmtId="0" xfId="0" applyBorder="1" applyFont="1"/>
    <xf borderId="1" fillId="0" fontId="13" numFmtId="0" xfId="0" applyAlignment="1" applyBorder="1" applyFont="1">
      <alignment horizontal="center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3" fontId="16" numFmtId="0" xfId="0" applyBorder="1" applyFont="1"/>
    <xf borderId="1" fillId="3" fontId="16" numFmtId="0" xfId="0" applyAlignment="1" applyBorder="1" applyFont="1">
      <alignment horizontal="center"/>
    </xf>
    <xf borderId="1" fillId="4" fontId="17" numFmtId="0" xfId="0" applyBorder="1" applyFill="1" applyFont="1"/>
    <xf borderId="1" fillId="4" fontId="18" numFmtId="0" xfId="0" applyBorder="1" applyFont="1"/>
    <xf borderId="1" fillId="5" fontId="10" numFmtId="0" xfId="0" applyBorder="1" applyFill="1" applyFont="1"/>
    <xf borderId="1" fillId="5" fontId="11" numFmtId="0" xfId="0" applyBorder="1" applyFont="1"/>
    <xf borderId="1" fillId="2" fontId="9" numFmtId="0" xfId="0" applyBorder="1" applyFont="1"/>
    <xf borderId="1" fillId="6" fontId="19" numFmtId="0" xfId="0" applyBorder="1" applyFill="1" applyFont="1"/>
    <xf borderId="1" fillId="0" fontId="19" numFmtId="0" xfId="0" applyAlignment="1" applyBorder="1" applyFont="1">
      <alignment horizontal="center"/>
    </xf>
    <xf borderId="1" fillId="7" fontId="10" numFmtId="0" xfId="0" applyAlignment="1" applyBorder="1" applyFill="1" applyFont="1">
      <alignment horizontal="center"/>
    </xf>
    <xf borderId="1" fillId="4" fontId="20" numFmtId="0" xfId="0" applyBorder="1" applyFont="1"/>
    <xf borderId="1" fillId="4" fontId="20" numFmtId="0" xfId="0" applyAlignment="1" applyBorder="1" applyFont="1">
      <alignment horizontal="center"/>
    </xf>
    <xf borderId="0" fillId="2" fontId="21" numFmtId="0" xfId="0" applyAlignment="1" applyFont="1">
      <alignment readingOrder="0"/>
    </xf>
    <xf borderId="0" fillId="8" fontId="22" numFmtId="0" xfId="0" applyAlignment="1" applyFill="1" applyFont="1">
      <alignment readingOrder="0"/>
    </xf>
    <xf borderId="0" fillId="8" fontId="23" numFmtId="0" xfId="0" applyFont="1"/>
    <xf borderId="0" fillId="8" fontId="24" numFmtId="0" xfId="0" applyFont="1"/>
    <xf borderId="0" fillId="0" fontId="25" numFmtId="0" xfId="0" applyAlignment="1" applyFont="1">
      <alignment readingOrder="0"/>
    </xf>
    <xf borderId="0" fillId="2" fontId="4" numFmtId="0" xfId="0" applyFont="1"/>
    <xf borderId="0" fillId="9" fontId="22" numFmtId="0" xfId="0" applyAlignment="1" applyFill="1" applyFont="1">
      <alignment readingOrder="0"/>
    </xf>
    <xf borderId="0" fillId="9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83F04"/>
                </a:solidFill>
                <a:latin typeface="sans-serif"/>
              </a:defRPr>
            </a:pPr>
            <a:r>
              <a:rPr b="1" sz="3000">
                <a:solidFill>
                  <a:srgbClr val="783F04"/>
                </a:solidFill>
                <a:latin typeface="sans-serif"/>
              </a:rPr>
              <a:t>Churn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axId val="746021467"/>
        <c:axId val="575025993"/>
      </c:barChart>
      <c:catAx>
        <c:axId val="746021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Contract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575025993"/>
      </c:catAx>
      <c:valAx>
        <c:axId val="575025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COUNTA of 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746021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38761D"/>
                </a:solidFill>
                <a:latin typeface="sans-serif"/>
              </a:defRPr>
            </a:pPr>
            <a:r>
              <a:rPr b="1" sz="3000">
                <a:solidFill>
                  <a:srgbClr val="38761D"/>
                </a:solidFill>
                <a:latin typeface="sans-serif"/>
              </a:rPr>
              <a:t>Churn by Contract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Dashboard!$A$14:$A$17</c:f>
            </c:strRef>
          </c:cat>
          <c:val>
            <c:numRef>
              <c:f>Dashboard!$B$14:$B$17</c:f>
              <c:numCache/>
            </c:numRef>
          </c:val>
        </c:ser>
        <c:axId val="947942336"/>
        <c:axId val="394018409"/>
      </c:barChart>
      <c:catAx>
        <c:axId val="9479423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Contract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394018409"/>
      </c:catAx>
      <c:valAx>
        <c:axId val="3940184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COUNTA of 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9479423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BF9000"/>
                </a:solidFill>
                <a:latin typeface="sans-serif"/>
              </a:defRPr>
            </a:pPr>
            <a:r>
              <a:rPr b="1" sz="3000">
                <a:solidFill>
                  <a:srgbClr val="BF9000"/>
                </a:solidFill>
                <a:latin typeface="sans-serif"/>
              </a:rPr>
              <a:t>Average Monthly Charges by Churn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Dashboard!$E$14:$E$16</c:f>
            </c:strRef>
          </c:cat>
          <c:val>
            <c:numRef>
              <c:f>Dashboard!$F$14:$F$16</c:f>
              <c:numCache/>
            </c:numRef>
          </c:val>
        </c:ser>
        <c:axId val="1173346263"/>
        <c:axId val="350666626"/>
      </c:barChart>
      <c:catAx>
        <c:axId val="1173346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350666626"/>
      </c:catAx>
      <c:valAx>
        <c:axId val="350666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AVERAGE of MonthlyCharges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173346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1590675</xdr:colOff>
      <xdr:row>19</xdr:row>
      <xdr:rowOff>152400</xdr:rowOff>
    </xdr:from>
    <xdr:ext cx="8629650" cy="4724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133350</xdr:rowOff>
    </xdr:from>
    <xdr:ext cx="8629650" cy="4762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190500</xdr:colOff>
      <xdr:row>19</xdr:row>
      <xdr:rowOff>133350</xdr:rowOff>
    </xdr:from>
    <xdr:ext cx="9648825" cy="4724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7044" sheet="Data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0.0"/>
        <n v="39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.0"/>
        <n v="111.05"/>
        <n v="100.9"/>
        <n v="78.95"/>
        <n v="66.85"/>
        <n v="21.05"/>
        <n v="21.0"/>
        <n v="98.5"/>
        <n v="19.45"/>
        <n v="95.0"/>
        <n v="45.55"/>
        <n v="110.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.0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.0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.0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.0"/>
        <n v="25.25"/>
        <n v="20.0"/>
        <n v="86.8"/>
        <n v="58.75"/>
        <n v="84.2"/>
        <n v="80.0"/>
        <n v="70.15"/>
        <n v="24.75"/>
        <n v="50.05"/>
        <n v="19.35"/>
        <n v="50.6"/>
        <n v="81.15"/>
        <n v="85.3"/>
        <n v="108.0"/>
        <n v="93.5"/>
        <n v="84.6"/>
        <n v="20.25"/>
        <n v="25.15"/>
        <n v="29.6"/>
        <n v="73.15"/>
        <n v="86.6"/>
        <n v="109.2"/>
        <n v="54.8"/>
        <n v="75.35"/>
        <n v="65.0"/>
        <n v="48.55"/>
        <n v="99.0"/>
        <n v="70.4"/>
        <n v="40.2"/>
        <n v="83.7"/>
        <n v="19.85"/>
        <n v="59.55"/>
        <n v="115.1"/>
        <n v="114.35"/>
        <n v="44.6"/>
        <n v="45.0"/>
        <n v="41.15"/>
        <n v="106.9"/>
        <n v="49.85"/>
        <n v="113.3"/>
        <n v="88.1"/>
        <n v="24.9"/>
        <n v="105.0"/>
        <n v="94.45"/>
        <n v="59.75"/>
        <n v="107.05"/>
        <n v="70.6"/>
        <n v="85.4"/>
        <n v="105.05"/>
        <n v="64.95"/>
        <n v="55.0"/>
        <n v="55.15"/>
        <n v="51.2"/>
        <n v="25.4"/>
        <n v="54.45"/>
        <n v="95.15"/>
        <n v="76.0"/>
        <n v="70.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.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.0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.0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.0"/>
        <n v="81.45"/>
        <n v="108.5"/>
        <n v="83.55"/>
        <n v="100.15"/>
        <n v="88.6"/>
        <n v="52.55"/>
        <n v="74.35"/>
        <n v="59.0"/>
        <n v="64.05"/>
        <n v="43.75"/>
        <n v="60.9"/>
        <n v="28.45"/>
        <n v="99.7"/>
        <n v="116.25"/>
        <n v="80.7"/>
        <n v="84.05"/>
        <n v="79.45"/>
        <n v="94.1"/>
        <n v="78.0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.0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.0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.0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.0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.0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.0"/>
        <n v="107.0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.0"/>
        <n v="111.2"/>
        <n v="88.0"/>
        <n v="79.15"/>
        <n v="103.1"/>
        <n v="63.95"/>
        <n v="25.8"/>
        <n v="89.45"/>
        <n v="90.95"/>
        <n v="74.1"/>
        <n v="88.8"/>
        <n v="93.25"/>
        <n v="71.4"/>
        <n v="44.4"/>
        <n v="100.0"/>
        <n v="30.85"/>
        <n v="84.85"/>
        <n v="33.15"/>
        <n v="92.0"/>
        <n v="89.8"/>
        <n v="115.8"/>
        <n v="64.35"/>
        <n v="50.8"/>
        <n v="89.0"/>
        <n v="93.4"/>
        <n v="73.65"/>
        <n v="94.65"/>
        <n v="39.0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.0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.0"/>
        <n v="50.25"/>
        <n v="43.65"/>
        <n v="35.5"/>
        <n v="80.75"/>
        <n v="39.5"/>
        <n v="90.6"/>
        <n v="112.4"/>
        <n v="50.2"/>
        <n v="62.25"/>
        <n v="55.7"/>
        <n v="54.0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.0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.0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.0"/>
        <n v="82.85"/>
        <n v="35.0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.0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.0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.0"/>
        <n v="75.75"/>
        <n v="69.95"/>
        <n v="50.0"/>
        <n v="104.75"/>
        <n v="81.5"/>
        <n v="67.25"/>
        <n v="34.65"/>
        <n v="67.8"/>
        <n v="111.4"/>
        <n v="46.3"/>
        <n v="60.65"/>
        <n v="98.6"/>
        <n v="71.7"/>
        <n v="36.0"/>
        <n v="48.95"/>
        <n v="53.5"/>
        <n v="109.05"/>
        <n v="26.3"/>
        <n v="77.95"/>
        <n v="26.0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.0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.0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.0"/>
        <n v="86.4"/>
        <n v="113.0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.0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.0"/>
        <n v="102.95"/>
        <n v="64.0"/>
        <n v="71.0"/>
        <n v="26.45"/>
        <n v="63.4"/>
        <n v="63.9"/>
        <n v="43.35"/>
        <n v="92.35"/>
        <n v="103.05"/>
        <n v="116.0"/>
        <n v="40.25"/>
        <n v="24.0"/>
        <n v="92.85"/>
        <n v="31.0"/>
        <n v="113.75"/>
        <n v="109.3"/>
        <n v="70.25"/>
        <n v="69.05"/>
        <n v="33.9"/>
        <n v="34.0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.0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.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.0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.0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.0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.0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.0"/>
        <n v="36.85"/>
        <n v="45.5"/>
        <n v="30.05"/>
        <n v="52.3"/>
        <n v="82.35"/>
        <n v="77.0"/>
        <n v="118.35"/>
        <n v="30.45"/>
        <n v="66.2"/>
        <n v="116.5"/>
        <n v="104.2"/>
        <n v="34.95"/>
        <n v="111.1"/>
        <n v="58.0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.0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.0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.0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.0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.0"/>
        <n v="108.35"/>
        <n v="63.1"/>
        <n v="44.2"/>
        <n v="78.7"/>
      </sharedItems>
    </cacheField>
    <cacheField name="TotalCharges" numFmtId="0">
      <sharedItems containsString="0" containsBlank="1" containsNumber="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.0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.0"/>
        <n v="957.1"/>
        <n v="857.25"/>
        <n v="244.1"/>
        <n v="3650.35"/>
        <n v="2497.2"/>
        <n v="930.9"/>
        <n v="887.35"/>
        <n v="49.05"/>
        <n v="1090.65"/>
        <n v="7099.0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.0"/>
        <n v="927.1"/>
        <n v="1009.25"/>
        <n v="2570.2"/>
        <n v="74.7"/>
        <n v="5714.25"/>
        <n v="7107.0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.0"/>
        <n v="251.6"/>
        <n v="764.55"/>
        <n v="1592.35"/>
        <n v="135.2"/>
        <n v="3958.25"/>
        <n v="233.9"/>
        <n v="1363.45"/>
        <n v="273.0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.0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.0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.0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.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.0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.0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.0"/>
        <n v="1830.1"/>
        <n v="6223.8"/>
        <n v="4508.65"/>
        <n v="1328.15"/>
        <n v="865.0"/>
        <n v="72.1"/>
        <n v="168.2"/>
        <n v="1303.5"/>
        <n v="996.85"/>
        <n v="6430.9"/>
        <n v="2278.75"/>
        <n v="681.4"/>
        <n v="574.35"/>
        <n v="371.9"/>
        <n v="840.1"/>
        <n v="846.0"/>
        <n v="889.0"/>
        <n v="6823.4"/>
        <n v="805.1"/>
        <n v="4016.75"/>
        <n v="83.75"/>
        <n v="3959.15"/>
        <n v="2878.55"/>
        <n v="945.7"/>
        <n v="1373.05"/>
        <n v="492.55"/>
        <n v="1406.0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.0"/>
        <n v="44.0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.0"/>
        <n v="2861.45"/>
        <n v="19.9"/>
        <n v="19.6"/>
        <n v="233.7"/>
        <n v="1066.15"/>
        <n v="2149.05"/>
        <n v="4473.0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.0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.0"/>
        <n v="564.4"/>
        <n v="1315.35"/>
        <n v="1861.5"/>
        <n v="2747.2"/>
        <n v="554.05"/>
        <n v="453.4"/>
        <n v="994.8"/>
        <n v="225.75"/>
        <n v="2145.0"/>
        <n v="1671.6"/>
        <n v="8003.8"/>
        <n v="680.05"/>
        <n v="6130.85"/>
        <n v="1415.0"/>
        <n v="6201.95"/>
        <m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.0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.0"/>
        <n v="4713.4"/>
        <n v="1758.6"/>
        <n v="3480.0"/>
        <n v="4738.3"/>
        <n v="8399.15"/>
        <n v="5430.35"/>
        <n v="686.95"/>
        <n v="5706.3"/>
        <n v="490.65"/>
        <n v="1360.25"/>
        <n v="174.45"/>
        <n v="7379.8"/>
        <n v="85.0"/>
        <n v="1021.75"/>
        <n v="5029.05"/>
        <n v="1955.4"/>
        <n v="6744.2"/>
        <n v="4946.7"/>
        <n v="8248.5"/>
        <n v="601.6"/>
        <n v="19.55"/>
        <n v="834.1"/>
        <n v="597.0"/>
        <n v="2647.2"/>
        <n v="3266.0"/>
        <n v="6744.25"/>
        <n v="5265.5"/>
        <n v="311.6"/>
        <n v="7966.9"/>
        <n v="8220.4"/>
        <n v="1153.25"/>
        <n v="514.75"/>
        <n v="2596.15"/>
        <n v="3808.0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.0"/>
        <n v="697.25"/>
        <n v="5614.45"/>
        <n v="3204.4"/>
        <n v="4747.65"/>
        <n v="3082.1"/>
        <n v="597.9"/>
        <n v="3365.4"/>
        <n v="38.8"/>
        <n v="233.55"/>
        <n v="346.2"/>
        <n v="19.0"/>
        <n v="61.7"/>
        <n v="85.7"/>
        <n v="3342.45"/>
        <n v="85.1"/>
        <n v="7422.1"/>
        <n v="6668.05"/>
        <n v="8071.05"/>
        <n v="1174.8"/>
        <n v="5435.0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.0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.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.0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.0"/>
        <n v="2263.4"/>
        <n v="2211.8"/>
        <n v="1683.7"/>
        <n v="1519.0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.0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.0"/>
        <n v="146.6"/>
        <n v="2339.3"/>
        <n v="298.7"/>
        <n v="143.65"/>
        <n v="2548.65"/>
        <n v="507.4"/>
        <n v="20.0"/>
        <n v="6125.4"/>
        <n v="5411.4"/>
        <n v="1058.25"/>
        <n v="903.8"/>
        <n v="3009.5"/>
        <n v="489.45"/>
        <n v="5468.45"/>
        <n v="1058.1"/>
        <n v="7616.0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.0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.0"/>
        <n v="1269.1"/>
        <n v="3027.4"/>
        <n v="4634.35"/>
        <n v="113.95"/>
        <n v="1582.75"/>
        <n v="3077.0"/>
        <n v="4039.5"/>
        <n v="1665.2"/>
        <n v="1043.3"/>
        <n v="504.2"/>
        <n v="497.55"/>
        <n v="7511.65"/>
        <n v="1782.0"/>
        <n v="609.65"/>
        <n v="2857.6"/>
        <n v="3247.55"/>
        <n v="6215.35"/>
        <n v="2823.0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.0"/>
        <n v="1798.9"/>
        <n v="73.55"/>
        <n v="1643.55"/>
        <n v="4807.45"/>
        <n v="2193.0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.0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.0"/>
        <n v="413.0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.0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.0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.0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.0"/>
        <n v="593.05"/>
        <n v="4284.8"/>
        <n v="544.55"/>
        <n v="1533.8"/>
        <n v="529.8"/>
        <n v="3865.6"/>
        <n v="941.0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.0"/>
        <n v="4872.2"/>
        <n v="1500.5"/>
        <n v="60.15"/>
        <n v="3478.75"/>
        <n v="7413.55"/>
        <n v="3532.0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.0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.0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.0"/>
        <n v="1553.9"/>
        <n v="3207.55"/>
        <n v="2049.05"/>
        <n v="3629.2"/>
        <n v="5124.55"/>
        <n v="3474.45"/>
        <n v="202.3"/>
        <n v="147.5"/>
        <n v="86.35"/>
        <n v="579.0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.0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.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.0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.0"/>
        <n v="546.45"/>
        <n v="797.1"/>
        <n v="76.0"/>
        <n v="1673.8"/>
        <n v="343.45"/>
        <n v="7412.25"/>
        <n v="4039.0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.0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.0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.0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.0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.0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.0"/>
        <n v="264.8"/>
        <n v="4707.85"/>
        <n v="6152.4"/>
        <n v="958.1"/>
        <n v="943.0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.0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.0"/>
        <n v="1901.25"/>
        <n v="716.4"/>
        <n v="4720.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.0"/>
        <n v="2333.85"/>
        <n v="949.85"/>
        <n v="572.45"/>
        <n v="696.8"/>
        <n v="1381.8"/>
        <n v="2572.95"/>
        <n v="47.95"/>
        <n v="45.1"/>
        <n v="45.0"/>
        <n v="2122.45"/>
        <n v="4931.8"/>
        <n v="116.95"/>
        <n v="6937.95"/>
        <n v="1261.7"/>
        <n v="3273.8"/>
        <n v="1415.85"/>
        <n v="3958.2"/>
        <n v="2492.25"/>
        <n v="279.2"/>
        <n v="1083.0"/>
        <n v="755.5"/>
        <n v="402.6"/>
        <n v="3252.0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.0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.0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.0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.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.0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.0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.0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.0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.0"/>
        <n v="772.85"/>
        <n v="71.35"/>
        <n v="857.8"/>
        <n v="7554.05"/>
        <n v="5981.65"/>
        <n v="1702.9"/>
        <n v="467.15"/>
        <n v="69.75"/>
        <n v="2931.0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.0"/>
        <n v="3157.0"/>
        <n v="3092.0"/>
        <n v="2168.9"/>
        <n v="980.35"/>
        <n v="65.95"/>
        <n v="711.9"/>
        <n v="1952.8"/>
        <n v="4368.85"/>
        <n v="2647.1"/>
        <n v="8477.6"/>
        <n v="54.35"/>
        <n v="4528.0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.0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.0"/>
        <n v="813.45"/>
        <n v="1108.8"/>
        <n v="7349.35"/>
        <n v="294.2"/>
        <n v="929.2"/>
        <n v="740.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.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.0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.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.0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.0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.0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.0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.0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.0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.0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.0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.0"/>
        <n v="54.75"/>
        <n v="3759.05"/>
        <n v="617.65"/>
        <n v="5935.1"/>
        <n v="94.6"/>
        <n v="2911.3"/>
        <n v="982.95"/>
        <n v="2974.5"/>
        <n v="198.7"/>
        <n v="1275.65"/>
        <n v="4003.0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.0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.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.0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.0"/>
        <n v="1887.0"/>
        <n v="151.8"/>
        <n v="293.65"/>
        <n v="1308.1"/>
        <n v="2215.4"/>
        <n v="482.8"/>
        <n v="2598.95"/>
        <n v="216.45"/>
        <n v="5064.85"/>
        <n v="996.45"/>
        <n v="839.65"/>
        <n v="6733.0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.0"/>
        <n v="3829.75"/>
        <n v="5294.6"/>
        <n v="6889.8"/>
        <n v="3254.35"/>
        <n v="6383.9"/>
        <n v="477.7"/>
        <n v="4447.55"/>
        <n v="7321.05"/>
        <n v="4135.0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.0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.0"/>
        <n v="6767.1"/>
        <n v="757.95"/>
        <n v="6890.0"/>
        <n v="1657.4"/>
        <n v="3008.55"/>
        <n v="262.05"/>
        <n v="8165.1"/>
        <n v="875.55"/>
        <n v="2649.15"/>
        <n v="220.65"/>
        <n v="1301.9"/>
        <n v="74.4"/>
        <n v="3326.2"/>
        <n v="790.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.0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.0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.0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.0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.0"/>
        <n v="3162.65"/>
        <n v="210.65"/>
        <n v="3566.7"/>
        <n v="2080.1"/>
        <n v="4040.2"/>
        <n v="5186.0"/>
        <n v="196.15"/>
        <n v="1087.45"/>
        <n v="1672.15"/>
        <n v="1206.05"/>
        <n v="1113.95"/>
        <n v="107.05"/>
        <n v="38.15"/>
        <n v="6339.3"/>
        <n v="1688.9"/>
        <n v="1378.25"/>
        <n v="219.0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.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.0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.0"/>
        <n v="878.35"/>
        <n v="335.75"/>
        <n v="3121.4"/>
        <n v="324.8"/>
        <n v="1394.55"/>
        <n v="3413.25"/>
        <n v="3143.65"/>
        <n v="439.75"/>
        <n v="664.4"/>
        <n v="4759.55"/>
        <n v="1033.0"/>
        <n v="3482.85"/>
        <n v="2688.45"/>
        <n v="435.25"/>
        <n v="2448.75"/>
        <n v="307.0"/>
        <n v="2689.35"/>
        <n v="1329.2"/>
        <n v="1281.25"/>
        <n v="3527.0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.0"/>
        <n v="381.2"/>
        <n v="1035.5"/>
        <n v="52.0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.0"/>
        <n v="337.9"/>
        <n v="3168.75"/>
        <n v="1412.4"/>
        <n v="3974.7"/>
        <n v="3439.0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.0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.0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.0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.0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.0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.0"/>
        <n v="3131.8"/>
        <n v="602.55"/>
        <n v="3369.25"/>
        <n v="2674.15"/>
        <n v="199.75"/>
        <n v="1790.8"/>
        <n v="449.75"/>
        <n v="19.7"/>
        <n v="1400.3"/>
        <n v="411.6"/>
        <n v="741.0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.0"/>
        <n v="1260.7"/>
        <n v="267.35"/>
        <n v="6586.85"/>
        <n v="934.15"/>
        <n v="123.65"/>
        <n v="7534.65"/>
        <n v="3645.6"/>
        <n v="314.45"/>
        <n v="3053.0"/>
        <n v="677.05"/>
        <n v="7965.95"/>
        <n v="906.85"/>
        <n v="4888.7"/>
        <n v="237.25"/>
        <n v="342.4"/>
        <n v="140.1"/>
        <n v="1108.0"/>
        <n v="295.55"/>
        <n v="892.65"/>
        <n v="198.25"/>
        <n v="4822.85"/>
        <n v="6741.15"/>
        <n v="79.15"/>
        <n v="1355.45"/>
        <n v="7209.0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.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.0"/>
        <n v="543.8"/>
        <n v="3005.8"/>
        <n v="1623.15"/>
        <n v="2498.4"/>
        <n v="2586.0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.0"/>
        <n v="717.3"/>
        <n v="1734.2"/>
        <n v="7069.3"/>
        <n v="742.9"/>
        <n v="3017.65"/>
        <n v="6423.0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.0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.0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.0"/>
        <n v="235.0"/>
        <n v="2347.85"/>
        <n v="7156.2"/>
        <n v="3089.6"/>
        <n v="270.8"/>
        <n v="2901.8"/>
        <n v="4949.1"/>
        <n v="2198.9"/>
        <n v="374.5"/>
        <n v="761.95"/>
        <n v="1520.9"/>
        <n v="5163.0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.0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.0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.0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.0"/>
        <n v="5817.7"/>
        <n v="6110.2"/>
        <n v="178.8"/>
        <n v="28.3"/>
        <n v="435.0"/>
        <n v="2351.8"/>
        <n v="186.15"/>
        <n v="445.85"/>
        <n v="912.0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.0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.0"/>
        <n v="1559.45"/>
        <n v="6079.0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.0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.0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.0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.0"/>
        <n v="701.3"/>
        <n v="1980.3"/>
        <n v="2893.4"/>
        <n v="262.3"/>
        <n v="3886.85"/>
        <n v="5917.55"/>
        <n v="914.0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.0"/>
        <n v="6668.0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.0"/>
        <n v="520.0"/>
        <n v="706.6"/>
        <n v="1370.35"/>
        <n v="2215.25"/>
        <n v="74.0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.0"/>
        <n v="2034.25"/>
        <n v="2510.2"/>
        <n v="3419.5"/>
        <n v="2427.35"/>
        <n v="1760.25"/>
        <n v="3551.65"/>
        <n v="122.9"/>
        <n v="1424.2"/>
        <n v="2111.45"/>
        <n v="2909.95"/>
        <n v="374.0"/>
        <n v="300.8"/>
        <n v="5581.05"/>
        <n v="5676.65"/>
        <n v="3379.25"/>
        <n v="942.95"/>
        <n v="232.4"/>
        <n v="2088.45"/>
        <n v="6137.0"/>
        <n v="1434.6"/>
        <n v="3870.0"/>
        <n v="2043.45"/>
        <n v="2215.0"/>
        <n v="842.25"/>
        <n v="2576.2"/>
        <n v="1901.0"/>
        <n v="3515.25"/>
        <n v="605.45"/>
        <n v="3094.05"/>
        <n v="4929.55"/>
        <n v="595.05"/>
        <n v="469.8"/>
        <n v="8436.25"/>
        <n v="492.0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.0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.0"/>
        <n v="1327.15"/>
        <n v="25.75"/>
        <n v="114.7"/>
        <n v="109.5"/>
        <n v="4692.95"/>
        <n v="546.85"/>
        <n v="1274.05"/>
        <n v="5301.1"/>
        <n v="280.35"/>
        <n v="2897.95"/>
        <n v="3371.0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.0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.0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.0"/>
        <n v="422.7"/>
        <n v="3046.4"/>
        <n v="358.05"/>
        <n v="2936.25"/>
        <n v="1271.8"/>
        <n v="530.05"/>
        <n v="1808.7"/>
        <n v="1144.6"/>
        <n v="7446.9"/>
        <n v="7556.9"/>
        <n v="6595.0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.0"/>
        <n v="196.35"/>
        <n v="909.25"/>
        <n v="6449.15"/>
        <n v="762.45"/>
        <n v="5283.95"/>
        <n v="1617.5"/>
        <n v="785.75"/>
        <n v="1776.0"/>
        <n v="5396.25"/>
        <n v="574.5"/>
        <n v="400.3"/>
        <n v="84.3"/>
        <n v="2656.3"/>
        <n v="1445.95"/>
        <n v="5212.65"/>
        <n v="6440.25"/>
        <n v="2244.95"/>
        <n v="1130.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.0"/>
        <n v="49.0"/>
        <n v="3046.15"/>
        <n v="69.35"/>
        <n v="836.35"/>
        <n v="272.2"/>
        <n v="5293.4"/>
        <n v="2570.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.0"/>
        <n v="85.05"/>
        <n v="8672.45"/>
        <n v="2196.45"/>
        <n v="3008.15"/>
        <n v="220.8"/>
        <n v="5779.6"/>
        <n v="222.65"/>
        <n v="914.6"/>
        <n v="246.3"/>
        <n v="2110.15"/>
        <n v="5560.0"/>
        <n v="1633.0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.0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.0"/>
        <n v="7875.0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.0"/>
        <n v="4854.3"/>
        <n v="7748.75"/>
        <n v="1914.9"/>
        <n v="6470.1"/>
        <n v="2019.8"/>
        <n v="5688.05"/>
        <n v="1522.7"/>
        <n v="1334.5"/>
        <n v="252.0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.0"/>
        <n v="216.9"/>
        <n v="373.0"/>
        <n v="245.2"/>
        <n v="481.1"/>
        <n v="302.75"/>
        <n v="1728.2"/>
        <n v="2964.05"/>
        <n v="2156.25"/>
        <n v="60.1"/>
        <n v="1051.9"/>
        <n v="78.95"/>
        <n v="5013.0"/>
        <n v="1738.9"/>
        <n v="2275.1"/>
        <n v="5511.65"/>
        <n v="1316.9"/>
        <n v="7993.3"/>
        <n v="1388.45"/>
        <n v="666.0"/>
        <n v="94.45"/>
        <n v="244.65"/>
        <n v="4134.7"/>
        <n v="2375.4"/>
        <n v="4862.5"/>
        <n v="2431.35"/>
        <n v="351.5"/>
        <n v="106.2"/>
        <n v="1413.0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.0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.0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.0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.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.0"/>
        <n v="108.7"/>
        <n v="7346.2"/>
        <n v="3708.4"/>
        <n v="44.1"/>
        <n v="1385.85"/>
        <n v="548.8"/>
        <n v="712.75"/>
        <n v="6405.0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.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.0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.0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.0"/>
        <n v="1714.55"/>
        <n v="893.2"/>
        <n v="810.85"/>
        <n v="6347.55"/>
        <n v="1123.65"/>
        <n v="43.15"/>
        <n v="35.1"/>
        <n v="1388.0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.0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.0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.0"/>
        <n v="1614.7"/>
        <n v="145.4"/>
        <n v="156.25"/>
        <n v="1604.5"/>
        <n v="270.15"/>
        <n v="20.6"/>
        <n v="7047.5"/>
        <n v="573.15"/>
        <n v="1538.6"/>
        <n v="4459.8"/>
        <n v="7459.0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.0"/>
        <n v="577.6"/>
        <n v="5953.0"/>
        <n v="1790.15"/>
        <n v="2531.4"/>
        <n v="4760.3"/>
        <n v="292.85"/>
        <n v="953.65"/>
        <n v="198.0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.0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.0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.0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.0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.0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.0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.0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.0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.0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.0"/>
        <n v="1096.6"/>
        <n v="2343.85"/>
        <n v="3588.4"/>
        <n v="7511.9"/>
        <n v="1725.0"/>
        <n v="49.75"/>
        <n v="1691.9"/>
        <n v="2248.05"/>
        <n v="4479.2"/>
        <n v="3471.1"/>
        <n v="63.0"/>
        <n v="3314.15"/>
        <n v="865.55"/>
        <n v="852.7"/>
        <n v="1930.9"/>
        <n v="91.4"/>
        <n v="3949.15"/>
        <n v="4304.0"/>
        <n v="409.9"/>
        <n v="1554.9"/>
        <n v="3472.05"/>
        <n v="117.8"/>
        <n v="3210.35"/>
        <n v="207.4"/>
        <n v="60.0"/>
        <n v="649.65"/>
        <n v="20.85"/>
        <n v="2106.3"/>
        <n v="35.0"/>
        <n v="2011.4"/>
        <n v="6205.5"/>
        <n v="903.7"/>
        <n v="3882.3"/>
        <n v="879.8"/>
        <n v="4390.25"/>
        <n v="68.2"/>
        <n v="452.8"/>
        <n v="5329.0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.0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.0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.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.0"/>
        <n v="3561.15"/>
        <n v="1763.55"/>
        <n v="2419.0"/>
        <n v="5234.95"/>
        <n v="3097.0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.0"/>
        <n v="68.35"/>
        <n v="847.25"/>
        <n v="4295.35"/>
        <n v="135.0"/>
        <n v="1400.55"/>
        <n v="1380.4"/>
        <n v="4386.2"/>
        <n v="86.0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.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.0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.0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.0"/>
        <n v="70.75"/>
        <n v="109.6"/>
        <n v="727.8"/>
        <n v="130.75"/>
        <n v="893.0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.0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.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.0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.0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.0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.0"/>
        <n v="471.85"/>
        <n v="5976.9"/>
        <n v="506.9"/>
        <n v="4299.75"/>
        <n v="7548.6"/>
        <n v="1654.75"/>
        <n v="80.35"/>
        <n v="4551.5"/>
        <n v="6227.5"/>
        <n v="76.4"/>
        <n v="514.0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.0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.0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.0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.0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.0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.0"/>
        <n v="1387.0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.0"/>
        <n v="350.3"/>
        <n v="5703.0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.0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.0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.0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.0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.0"/>
        <n v="239.05"/>
        <n v="5673.7"/>
        <n v="39.8"/>
        <n v="997.75"/>
        <n v="5574.35"/>
        <n v="406.05"/>
        <n v="138.85"/>
        <n v="1801.1"/>
        <n v="689.0"/>
        <n v="790.7"/>
        <n v="582.5"/>
        <n v="1618.2"/>
        <n v="1173.35"/>
        <n v="900.9"/>
        <n v="2122.05"/>
        <n v="6719.9"/>
        <n v="69.15"/>
        <n v="3784.0"/>
        <n v="1798.65"/>
        <n v="54.65"/>
        <n v="3886.45"/>
        <n v="1224.05"/>
        <n v="2310.2"/>
        <n v="723.4"/>
        <n v="3988.5"/>
        <n v="3554.6"/>
        <n v="6034.85"/>
        <n v="531.6"/>
        <n v="173.0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.0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.0"/>
        <n v="5746.15"/>
        <n v="209.1"/>
        <n v="1864.2"/>
        <n v="5979.7"/>
        <n v="3902.45"/>
        <n v="7142.5"/>
        <n v="902.0"/>
        <n v="4481.0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.0"/>
        <n v="299.75"/>
        <n v="702.05"/>
        <n v="2354.8"/>
        <n v="3473.4"/>
        <n v="4438.2"/>
        <n v="4819.75"/>
        <n v="92.25"/>
        <n v="1567.0"/>
        <n v="1242.45"/>
        <n v="559.2"/>
        <n v="220.1"/>
        <n v="531.15"/>
        <n v="1183.2"/>
        <n v="465.85"/>
        <n v="6876.05"/>
        <n v="501.0"/>
        <n v="3782.4"/>
        <n v="460.2"/>
        <n v="1790.35"/>
        <n v="733.35"/>
        <n v="1334.0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.0"/>
        <n v="684.4"/>
        <n v="620.35"/>
        <n v="1146.05"/>
        <n v="1806.35"/>
        <n v="603.0"/>
        <n v="5798.3"/>
        <n v="519.15"/>
        <n v="497.6"/>
        <n v="1301.7"/>
        <n v="1129.75"/>
        <n v="266.95"/>
        <n v="257.0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.0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.0"/>
        <n v="2441.7"/>
        <n v="2751.0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.0"/>
        <n v="961.4"/>
        <n v="4615.9"/>
        <n v="3251.3"/>
        <n v="3880.05"/>
        <n v="3088.75"/>
        <n v="1396.0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.0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.0"/>
        <n v="239.0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Churn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E4:F9" firstHeaderRow="0" firstDataRow="1" firstDataCol="0" rowPageCount="1" colPageCount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Page" compact="0" outline="0" multipleItemSelectionAllowed="1" showAll="0">
      <items>
        <item h="1" x="0"/>
        <item x="1"/>
        <item t="default"/>
      </items>
    </pivotField>
  </pivotFields>
  <rowFields>
    <field x="17"/>
  </rowFields>
  <pageFields>
    <pageField fld="20"/>
  </pageFields>
  <dataFields>
    <dataField name="COUNTA of customerID" fld="0" subtotal="count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compact="0" compactData="0">
  <location ref="A13:B17" firstHeaderRow="0" firstDataRow="1" firstDataCol="0" rowPageCount="1" colPageCount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Page" compact="0" outline="0" multipleItemSelectionAllowed="1" showAll="0">
      <items>
        <item h="1" x="0"/>
        <item x="1"/>
        <item t="default"/>
      </items>
    </pivotField>
  </pivotFields>
  <rowFields>
    <field x="15"/>
  </rowFields>
  <pageFields>
    <pageField fld="20"/>
  </pageFields>
  <dataFields>
    <dataField name="COUNTA of customerID" fld="0" subtotal="count" baseField="0"/>
  </dataFields>
</pivotTableDefinition>
</file>

<file path=xl/pivotTables/pivotTable3.xml><?xml version="1.0" encoding="utf-8"?>
<pivotTableDefinition xmlns="http://schemas.openxmlformats.org/spreadsheetml/2006/main" name="Dashboard 3" cacheId="0" dataCaption="" compact="0" compactData="0">
  <location ref="E13:F16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Row" compact="0" outline="0" multipleItemSelectionAllowed="1" showAll="0" sortType="ascending">
      <items>
        <item x="0"/>
        <item x="1"/>
        <item t="default"/>
      </items>
    </pivotField>
  </pivotFields>
  <rowFields>
    <field x="20"/>
  </rowFields>
  <dataFields>
    <dataField name="AVERAGE of MonthlyCharges" fld="1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3.75"/>
    <col customWidth="1" min="5" max="5" width="34.75"/>
    <col customWidth="1" min="6" max="6" width="38.75"/>
    <col customWidth="1" min="7" max="7" width="27.13"/>
    <col customWidth="1" min="11" max="11" width="15.25"/>
    <col customWidth="1" min="18" max="18" width="22.38"/>
  </cols>
  <sheetData>
    <row r="1">
      <c r="B1" s="2" t="s">
        <v>7079</v>
      </c>
      <c r="C1" s="3"/>
      <c r="D1" s="3"/>
      <c r="E1" s="3"/>
    </row>
    <row r="2">
      <c r="B2" s="4"/>
      <c r="C2" s="4"/>
      <c r="D2" s="4"/>
      <c r="E2" s="4"/>
      <c r="F2" s="5"/>
      <c r="K2" s="6"/>
      <c r="L2" s="7"/>
      <c r="M2" s="7"/>
      <c r="N2" s="7"/>
      <c r="O2" s="7"/>
      <c r="P2" s="8"/>
      <c r="R2" s="9"/>
      <c r="S2" s="10"/>
      <c r="T2" s="10"/>
    </row>
    <row r="4">
      <c r="A4" s="11" t="s">
        <v>7080</v>
      </c>
      <c r="B4" s="12">
        <f>COUNTA(Data!A12:A995)</f>
        <v>7033</v>
      </c>
    </row>
    <row r="5">
      <c r="A5" s="15" t="s">
        <v>7082</v>
      </c>
      <c r="B5" s="12">
        <f>COUNTIF(Data!U12:U995,"Yes")</f>
        <v>1865</v>
      </c>
    </row>
    <row r="6">
      <c r="A6" s="18" t="s">
        <v>7083</v>
      </c>
      <c r="B6" s="12">
        <f>COUNTIF(Data!U12:U995,"No")</f>
        <v>5168</v>
      </c>
    </row>
    <row r="7">
      <c r="A7" s="19" t="s">
        <v>7084</v>
      </c>
      <c r="B7" s="12">
        <f>(B5/B4)*100</f>
        <v>26.51784445</v>
      </c>
    </row>
    <row r="8"/>
    <row r="9"/>
    <row r="13"/>
    <row r="14"/>
    <row r="15"/>
    <row r="16"/>
    <row r="17"/>
    <row r="46">
      <c r="B46" s="32" t="s">
        <v>7087</v>
      </c>
    </row>
    <row r="47">
      <c r="B47" s="33" t="s">
        <v>7088</v>
      </c>
      <c r="C47" s="34"/>
      <c r="D47" s="35"/>
      <c r="E47" s="35"/>
    </row>
    <row r="51">
      <c r="B51" s="36" t="s">
        <v>7089</v>
      </c>
    </row>
    <row r="52">
      <c r="A52" s="37"/>
      <c r="B52" s="38" t="s">
        <v>7090</v>
      </c>
      <c r="C52" s="39"/>
      <c r="D52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